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2b72774028331e8/Desktop/"/>
    </mc:Choice>
  </mc:AlternateContent>
  <xr:revisionPtr revIDLastSave="603" documentId="8_{CEB7E0BC-7222-4B6C-A000-BFAC6F048340}" xr6:coauthVersionLast="47" xr6:coauthVersionMax="47" xr10:uidLastSave="{11181B47-F58B-4C0C-8004-FDED00407A71}"/>
  <bookViews>
    <workbookView xWindow="-110" yWindow="-110" windowWidth="19420" windowHeight="11500" firstSheet="4" activeTab="8" xr2:uid="{87AD6AEF-8483-4203-9FB0-AB960A152EC4}"/>
  </bookViews>
  <sheets>
    <sheet name="Cover" sheetId="1" r:id="rId1"/>
    <sheet name="Income Statement" sheetId="2" r:id="rId2"/>
    <sheet name="Balance Sheet" sheetId="3" r:id="rId3"/>
    <sheet name="Cash Flow Statement" sheetId="4" r:id="rId4"/>
    <sheet name="Horizontal Analysis" sheetId="5" r:id="rId5"/>
    <sheet name="Vertical Analysis" sheetId="6" r:id="rId6"/>
    <sheet name="Ratio Analysis" sheetId="7" r:id="rId7"/>
    <sheet name="Dashboard" sheetId="8" r:id="rId8"/>
    <sheet name="Insight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8" l="1"/>
  <c r="C17" i="8"/>
  <c r="B17" i="8"/>
  <c r="D16" i="8"/>
  <c r="C16" i="8"/>
  <c r="B16" i="8"/>
  <c r="I11" i="8"/>
  <c r="H11" i="8"/>
  <c r="G11" i="8"/>
  <c r="I10" i="8"/>
  <c r="H10" i="8"/>
  <c r="G10" i="8"/>
  <c r="I9" i="8"/>
  <c r="H9" i="8"/>
  <c r="G9" i="8"/>
  <c r="A4" i="8"/>
  <c r="D10" i="8"/>
  <c r="D11" i="8"/>
  <c r="D12" i="8"/>
  <c r="B12" i="8"/>
  <c r="B11" i="8"/>
  <c r="B10" i="8"/>
  <c r="D9" i="8"/>
  <c r="B9" i="8"/>
  <c r="C9" i="8"/>
  <c r="C10" i="8"/>
  <c r="C11" i="8"/>
  <c r="C12" i="8"/>
  <c r="C4" i="8"/>
  <c r="I4" i="8"/>
  <c r="G4" i="8"/>
  <c r="E4" i="8"/>
  <c r="B2" i="7"/>
  <c r="D6" i="7"/>
  <c r="C6" i="7"/>
  <c r="B6" i="7"/>
  <c r="D5" i="7"/>
  <c r="C5" i="7"/>
  <c r="B5" i="7"/>
  <c r="C4" i="7"/>
  <c r="D4" i="7"/>
  <c r="B4" i="7"/>
  <c r="C3" i="7"/>
  <c r="D3" i="7"/>
  <c r="B3" i="7"/>
  <c r="C2" i="7"/>
  <c r="D2" i="7"/>
  <c r="B3" i="6"/>
  <c r="C3" i="6"/>
  <c r="D3" i="6"/>
  <c r="B4" i="6"/>
  <c r="E4" i="6" s="1"/>
  <c r="C4" i="6"/>
  <c r="F4" i="6" s="1"/>
  <c r="D4" i="6"/>
  <c r="G4" i="6" s="1"/>
  <c r="B5" i="6"/>
  <c r="C5" i="6"/>
  <c r="D5" i="6"/>
  <c r="B6" i="6"/>
  <c r="C6" i="6"/>
  <c r="D6" i="6"/>
  <c r="B7" i="6"/>
  <c r="C7" i="6"/>
  <c r="D7" i="6"/>
  <c r="B8" i="6"/>
  <c r="C8" i="6"/>
  <c r="D8" i="6"/>
  <c r="B9" i="6"/>
  <c r="C9" i="6"/>
  <c r="D9" i="6"/>
  <c r="B10" i="6"/>
  <c r="C10" i="6"/>
  <c r="F10" i="6" s="1"/>
  <c r="D10" i="6"/>
  <c r="B11" i="6"/>
  <c r="C11" i="6"/>
  <c r="D11" i="6"/>
  <c r="B12" i="6"/>
  <c r="C12" i="6"/>
  <c r="D12" i="6"/>
  <c r="B13" i="6"/>
  <c r="C13" i="6"/>
  <c r="D13" i="6"/>
  <c r="B14" i="6"/>
  <c r="C14" i="6"/>
  <c r="D14" i="6"/>
  <c r="B15" i="6"/>
  <c r="C15" i="6"/>
  <c r="D15" i="6"/>
  <c r="B16" i="6"/>
  <c r="E16" i="6" s="1"/>
  <c r="C16" i="6"/>
  <c r="D16" i="6"/>
  <c r="G16" i="6" s="1"/>
  <c r="C2" i="6"/>
  <c r="D2" i="6"/>
  <c r="B2" i="6"/>
  <c r="C4" i="5"/>
  <c r="C5" i="5"/>
  <c r="D5" i="5" s="1"/>
  <c r="C6" i="5"/>
  <c r="C7" i="5"/>
  <c r="C8" i="5"/>
  <c r="C3" i="5"/>
  <c r="B8" i="5"/>
  <c r="B7" i="5"/>
  <c r="B6" i="5"/>
  <c r="B5" i="5"/>
  <c r="B4" i="5"/>
  <c r="B2" i="5"/>
  <c r="B3" i="5"/>
  <c r="C2" i="5"/>
  <c r="E2" i="5" s="1"/>
  <c r="D4" i="5" l="1"/>
  <c r="E8" i="5"/>
  <c r="D8" i="5"/>
  <c r="E7" i="5"/>
  <c r="D7" i="5"/>
  <c r="E6" i="5"/>
  <c r="D6" i="5"/>
  <c r="G12" i="6"/>
  <c r="G6" i="6"/>
  <c r="G11" i="6"/>
  <c r="G5" i="6"/>
  <c r="G2" i="6"/>
  <c r="E15" i="6"/>
  <c r="F6" i="6"/>
  <c r="E3" i="5"/>
  <c r="F11" i="6"/>
  <c r="F5" i="6"/>
  <c r="F2" i="6"/>
  <c r="E10" i="6"/>
  <c r="G10" i="6"/>
  <c r="G3" i="6"/>
  <c r="E4" i="5"/>
  <c r="F9" i="6"/>
  <c r="E9" i="6"/>
  <c r="E3" i="6"/>
  <c r="E5" i="5"/>
  <c r="E6" i="6"/>
  <c r="E2" i="6"/>
  <c r="E11" i="6"/>
  <c r="E5" i="6"/>
  <c r="G15" i="6"/>
  <c r="F3" i="6"/>
  <c r="D2" i="5"/>
  <c r="G8" i="6"/>
  <c r="F8" i="6"/>
  <c r="D3" i="5"/>
  <c r="E14" i="6"/>
  <c r="G14" i="6"/>
  <c r="F14" i="6"/>
  <c r="G13" i="6"/>
  <c r="G7" i="6"/>
  <c r="F13" i="6"/>
  <c r="F7" i="6"/>
  <c r="F16" i="6"/>
  <c r="E13" i="6"/>
  <c r="E7" i="6"/>
  <c r="F12" i="6"/>
  <c r="E12" i="6"/>
  <c r="G9" i="6"/>
  <c r="F15" i="6"/>
  <c r="E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BB72E-2A23-4EAC-BF2B-FBD924F4A0F1}" keepAlive="1" name="Query - Table034 (Page 32)" description="Connection to the 'Table034 (Page 32)' query in the workbook." type="5" refreshedVersion="0" background="1">
    <dbPr connection="Provider=Microsoft.Mashup.OleDb.1;Data Source=$Workbook$;Location=&quot;Table034 (Page 32)&quot;;Extended Properties=&quot;&quot;" command="SELECT * FROM [Table034 (Page 32)]"/>
  </connection>
  <connection id="2" xr16:uid="{9F526C16-335C-4460-8A8C-F92D45C48EBC}" keepAlive="1" name="Query - Table034 (Page 32) (2)" description="Connection to the 'Table034 (Page 32) (2)' query in the workbook." type="5" refreshedVersion="0" background="1">
    <dbPr connection="Provider=Microsoft.Mashup.OleDb.1;Data Source=$Workbook$;Location=&quot;Table034 (Page 32) (2)&quot;;Extended Properties=&quot;&quot;" command="SELECT * FROM [Table034 (Page 32) (2)]"/>
  </connection>
</connections>
</file>

<file path=xl/sharedStrings.xml><?xml version="1.0" encoding="utf-8"?>
<sst xmlns="http://schemas.openxmlformats.org/spreadsheetml/2006/main" count="137" uniqueCount="91">
  <si>
    <t>APPLE INC.</t>
  </si>
  <si>
    <t>Financial Statement Analysis</t>
  </si>
  <si>
    <t>Prepared by:</t>
  </si>
  <si>
    <t>BBA</t>
  </si>
  <si>
    <t>Mohan Babu University</t>
  </si>
  <si>
    <t>Project 1</t>
  </si>
  <si>
    <t>Investment Banking Portfolio</t>
  </si>
  <si>
    <t>Date:</t>
  </si>
  <si>
    <t>Lakshmi Nivas Mittal</t>
  </si>
  <si>
    <t>Particulars</t>
  </si>
  <si>
    <t>Product Revenue</t>
  </si>
  <si>
    <t>Service Revenue</t>
  </si>
  <si>
    <t>Total Revenue</t>
  </si>
  <si>
    <t>Product Cost</t>
  </si>
  <si>
    <t>Service Cost</t>
  </si>
  <si>
    <t>Total Cost</t>
  </si>
  <si>
    <t>Gross Margin</t>
  </si>
  <si>
    <t>R&amp;D</t>
  </si>
  <si>
    <t>SG&amp;A</t>
  </si>
  <si>
    <t>Total Operating Expenses</t>
  </si>
  <si>
    <t>Operating Income</t>
  </si>
  <si>
    <t>Other Income</t>
  </si>
  <si>
    <t>Income Before Tax</t>
  </si>
  <si>
    <t>Income Tax</t>
  </si>
  <si>
    <t>Net Income</t>
  </si>
  <si>
    <t>Cash</t>
  </si>
  <si>
    <t>Marketable Securities</t>
  </si>
  <si>
    <t>Accounts Receivable</t>
  </si>
  <si>
    <t>Inventory</t>
  </si>
  <si>
    <t>Total Current Assets</t>
  </si>
  <si>
    <t>Total Non Current Assets</t>
  </si>
  <si>
    <t>Total Assets</t>
  </si>
  <si>
    <t>Total Current Liabilities</t>
  </si>
  <si>
    <t>Total Non Current Liabilities</t>
  </si>
  <si>
    <t>Total Liabilities</t>
  </si>
  <si>
    <t>Shareholders' Equity</t>
  </si>
  <si>
    <t>Operating Cash Flow</t>
  </si>
  <si>
    <t>Investing Cash Flow</t>
  </si>
  <si>
    <t>Financing Cash Flow</t>
  </si>
  <si>
    <t>Net Change in Cash</t>
  </si>
  <si>
    <t>Ending Cash</t>
  </si>
  <si>
    <t>2025</t>
  </si>
  <si>
    <t>2024</t>
  </si>
  <si>
    <t>2023</t>
  </si>
  <si>
    <t>Change</t>
  </si>
  <si>
    <t>% Change</t>
  </si>
  <si>
    <t>2023 % of Revenue</t>
  </si>
  <si>
    <t>2025 % of Revenue</t>
  </si>
  <si>
    <t>2024 % of Revenue</t>
  </si>
  <si>
    <t>Ratio</t>
  </si>
  <si>
    <t>Gross Profit Margin</t>
  </si>
  <si>
    <t>Operating Profit Margin</t>
  </si>
  <si>
    <t>Net Profit Margin</t>
  </si>
  <si>
    <t>ROA</t>
  </si>
  <si>
    <t>ROE</t>
  </si>
  <si>
    <t>$316,199</t>
  </si>
  <si>
    <t>$78,129</t>
  </si>
  <si>
    <t>$394,328</t>
  </si>
  <si>
    <t>$201,471</t>
  </si>
  <si>
    <t>$22,075</t>
  </si>
  <si>
    <t>$223,546</t>
  </si>
  <si>
    <t>$170,782</t>
  </si>
  <si>
    <t>$26,251</t>
  </si>
  <si>
    <t>$25,094</t>
  </si>
  <si>
    <t>$51,345</t>
  </si>
  <si>
    <t>$119,437</t>
  </si>
  <si>
    <t>-$334</t>
  </si>
  <si>
    <t>$119,103</t>
  </si>
  <si>
    <t>$19,300</t>
  </si>
  <si>
    <t>$99,803</t>
  </si>
  <si>
    <t>2,022</t>
  </si>
  <si>
    <t>Revenue</t>
  </si>
  <si>
    <t>APPLE INC.-- FINANCIAL ANALYSIS DASHBOARD</t>
  </si>
  <si>
    <t>Metric</t>
  </si>
  <si>
    <t>Margin</t>
  </si>
  <si>
    <t>Financial Position</t>
  </si>
  <si>
    <t>APPLE INC. — FINANCIAL ANALYSIS INSIGHTS</t>
  </si>
  <si>
    <t>Area</t>
  </si>
  <si>
    <t>Analyst Insight</t>
  </si>
  <si>
    <t>Revenue Growth</t>
  </si>
  <si>
    <t>Profitability</t>
  </si>
  <si>
    <t>Liquidity / Balance Sheet</t>
  </si>
  <si>
    <t>Shareholder Returns</t>
  </si>
  <si>
    <t>Overall Assessment</t>
  </si>
  <si>
    <t>Apple’s revenue increased from $383.3B in 2023 to $391.0B in 2024 and $416.2B in 2025. The strongest growth occurred in 2025, indicating improved top-line momentum.</t>
  </si>
  <si>
    <t>Gross profit margin improved from approximately 44.1% in 2023 to 46.9% in 2025. Operating profit margin also increased from approximately 29.8% to 32.0%, showing stronger operating efficiency.</t>
  </si>
  <si>
    <t>Net income declined slightly in 2024 but increased significantly in 2025 to approximately $112.0B. Net profit margin reached approximately 26.9% in 2025, demonstrating strong earnings performance.</t>
  </si>
  <si>
    <t>Total assets decreased slightly from $365.0B in 2024 to $359.2B in 2025, while total liabilities declined from $308.0B to $285.5B. The reduction in liabilities indicates an improvement in the company’s overall balance-sheet position.</t>
  </si>
  <si>
    <t>Current assets decreased moderately in 2025, while current liabilities also declined. This should be monitored alongside Apple’s cash, marketable securities and operating cash generation to assess short-term financial flexibility.</t>
  </si>
  <si>
    <t>ROE remains exceptionally high, reflecting Apple’s ability to generate substantial earnings relative to shareholders’ equity. However, the unusually high ROE should be interpreted in the context of Apple’s relatively low equity base.</t>
  </si>
  <si>
    <t>Apple demonstrated strong financial performance in 2025, with accelerating revenue, higher profitability and substantially improved net income. Overall, the company shows strong earnings power and operating efficiency, while its balance-sheet structure and shareholder returns remain important areas for continued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</si>
</sst>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409]#,##0"/>
    <numFmt numFmtId="165" formatCode="[$$-409]#,##0_ ;\-[$$-409]#,##0\ "/>
  </numFmts>
  <fonts count="8" x14ac:knownFonts="1">
    <font>
      <sz val="11"/>
      <color theme="1"/>
      <name val="Aptos Narrow"/>
      <family val="2"/>
      <scheme val="minor"/>
    </font>
    <font>
      <sz val="11"/>
      <color theme="1"/>
      <name val="Aptos Narrow"/>
      <family val="2"/>
      <scheme val="minor"/>
    </font>
    <font>
      <sz val="11"/>
      <color theme="1"/>
      <name val="Calibri"/>
      <family val="2"/>
    </font>
    <font>
      <b/>
      <sz val="11"/>
      <color theme="0"/>
      <name val="Calibri"/>
      <family val="2"/>
    </font>
    <font>
      <sz val="8"/>
      <name val="Aptos Narrow"/>
      <family val="2"/>
      <scheme val="minor"/>
    </font>
    <font>
      <b/>
      <sz val="11"/>
      <color theme="1"/>
      <name val="Aptos Narrow"/>
      <family val="2"/>
      <scheme val="minor"/>
    </font>
    <font>
      <b/>
      <sz val="11"/>
      <color theme="0"/>
      <name val="Aptos Narrow"/>
      <family val="2"/>
      <scheme val="minor"/>
    </font>
    <font>
      <sz val="11"/>
      <color rgb="FF1F1F1F"/>
      <name val="Arial"/>
      <family val="2"/>
    </font>
  </fonts>
  <fills count="5">
    <fill>
      <patternFill patternType="none"/>
    </fill>
    <fill>
      <patternFill patternType="gray125"/>
    </fill>
    <fill>
      <patternFill patternType="solid">
        <fgColor theme="3" tint="0.499984740745262"/>
        <bgColor indexed="64"/>
      </patternFill>
    </fill>
    <fill>
      <patternFill patternType="solid">
        <fgColor theme="1"/>
        <bgColor theme="1"/>
      </patternFill>
    </fill>
    <fill>
      <patternFill patternType="solid">
        <fgColor theme="0" tint="-0.14999847407452621"/>
        <bgColor theme="0" tint="-0.14999847407452621"/>
      </patternFill>
    </fill>
  </fills>
  <borders count="9">
    <border>
      <left/>
      <right/>
      <top/>
      <bottom/>
      <diagonal/>
    </border>
    <border>
      <left/>
      <right/>
      <top style="thin">
        <color theme="9" tint="0.39997558519241921"/>
      </top>
      <bottom style="thin">
        <color theme="9" tint="0.3999755851924192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43" fontId="1" fillId="0" borderId="0" applyFont="0" applyFill="0" applyBorder="0" applyAlignment="0" applyProtection="0"/>
  </cellStyleXfs>
  <cellXfs count="47">
    <xf numFmtId="0" fontId="0" fillId="0" borderId="0" xfId="0"/>
    <xf numFmtId="0" fontId="2" fillId="0" borderId="0" xfId="0" applyFont="1"/>
    <xf numFmtId="0" fontId="0" fillId="0" borderId="0" xfId="0" applyAlignment="1">
      <alignment horizontal="left"/>
    </xf>
    <xf numFmtId="17" fontId="0" fillId="0" borderId="0" xfId="0" applyNumberFormat="1" applyAlignment="1">
      <alignment horizontal="left"/>
    </xf>
    <xf numFmtId="0" fontId="2" fillId="0" borderId="0" xfId="0" applyFont="1" applyAlignment="1">
      <alignment horizontal="left"/>
    </xf>
    <xf numFmtId="0" fontId="3" fillId="2" borderId="0" xfId="0" applyFont="1" applyFill="1" applyAlignment="1">
      <alignment horizontal="left" vertical="center" wrapText="1"/>
    </xf>
    <xf numFmtId="0" fontId="2" fillId="0" borderId="0" xfId="0" applyFont="1" applyAlignment="1">
      <alignment horizontal="left" vertical="center" wrapText="1"/>
    </xf>
    <xf numFmtId="43" fontId="3" fillId="2" borderId="0" xfId="1" applyFont="1" applyFill="1" applyAlignment="1">
      <alignment horizontal="left" vertical="center" wrapText="1"/>
    </xf>
    <xf numFmtId="43" fontId="2" fillId="0" borderId="0" xfId="1" applyFont="1" applyAlignment="1">
      <alignment horizontal="left"/>
    </xf>
    <xf numFmtId="164" fontId="0" fillId="0" borderId="0" xfId="0" applyNumberFormat="1" applyAlignment="1">
      <alignment horizontal="left"/>
    </xf>
    <xf numFmtId="3" fontId="2" fillId="0" borderId="0" xfId="0" applyNumberFormat="1" applyFont="1" applyAlignment="1">
      <alignment horizontal="left" vertical="center" wrapText="1"/>
    </xf>
    <xf numFmtId="3" fontId="0" fillId="0" borderId="0" xfId="0" applyNumberFormat="1" applyAlignment="1">
      <alignment horizontal="left"/>
    </xf>
    <xf numFmtId="0" fontId="5" fillId="0" borderId="0" xfId="0" applyFont="1" applyAlignment="1">
      <alignment horizontal="center" vertical="center" wrapText="1"/>
    </xf>
    <xf numFmtId="0" fontId="5" fillId="0" borderId="0" xfId="0" applyFont="1" applyAlignment="1">
      <alignment horizontal="right" vertical="center" wrapText="1"/>
    </xf>
    <xf numFmtId="0" fontId="0" fillId="0" borderId="0" xfId="0" applyAlignment="1">
      <alignment vertical="center" wrapText="1"/>
    </xf>
    <xf numFmtId="0" fontId="5" fillId="0" borderId="0" xfId="0" applyFont="1" applyAlignment="1">
      <alignment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right" vertical="center" wrapText="1"/>
    </xf>
    <xf numFmtId="10" fontId="6" fillId="3" borderId="7" xfId="0" applyNumberFormat="1" applyFont="1" applyFill="1" applyBorder="1" applyAlignment="1">
      <alignment horizontal="right" vertical="center" wrapText="1"/>
    </xf>
    <xf numFmtId="164" fontId="0" fillId="4" borderId="5" xfId="0" applyNumberFormat="1" applyFill="1" applyBorder="1" applyAlignment="1">
      <alignment vertical="center" wrapText="1"/>
    </xf>
    <xf numFmtId="164" fontId="0" fillId="4" borderId="6" xfId="0" applyNumberFormat="1" applyFill="1" applyBorder="1" applyAlignment="1">
      <alignment horizontal="right" vertical="center" wrapText="1"/>
    </xf>
    <xf numFmtId="3" fontId="0" fillId="4" borderId="6" xfId="0" applyNumberFormat="1" applyFill="1" applyBorder="1" applyAlignment="1">
      <alignment horizontal="right" vertical="center" wrapText="1"/>
    </xf>
    <xf numFmtId="10" fontId="0" fillId="4" borderId="7" xfId="0" applyNumberFormat="1" applyFill="1" applyBorder="1" applyAlignment="1">
      <alignment horizontal="right" vertical="center" wrapText="1"/>
    </xf>
    <xf numFmtId="164" fontId="0" fillId="0" borderId="5" xfId="0" applyNumberFormat="1" applyBorder="1" applyAlignment="1">
      <alignment vertical="center" wrapText="1"/>
    </xf>
    <xf numFmtId="164" fontId="0" fillId="0" borderId="6" xfId="0" applyNumberFormat="1" applyBorder="1" applyAlignment="1">
      <alignment horizontal="right" vertical="center" wrapText="1"/>
    </xf>
    <xf numFmtId="3" fontId="0" fillId="0" borderId="6" xfId="0" applyNumberFormat="1" applyBorder="1" applyAlignment="1">
      <alignment horizontal="right" vertical="center" wrapText="1"/>
    </xf>
    <xf numFmtId="10" fontId="0" fillId="0" borderId="7" xfId="0" applyNumberFormat="1" applyBorder="1" applyAlignment="1">
      <alignment horizontal="right" vertical="center" wrapText="1"/>
    </xf>
    <xf numFmtId="164" fontId="0" fillId="4" borderId="2" xfId="0" applyNumberFormat="1" applyFill="1" applyBorder="1" applyAlignment="1">
      <alignment vertical="center" wrapText="1"/>
    </xf>
    <xf numFmtId="164" fontId="0" fillId="4" borderId="3" xfId="0" applyNumberFormat="1" applyFill="1" applyBorder="1" applyAlignment="1">
      <alignment horizontal="right" vertical="center" wrapText="1"/>
    </xf>
    <xf numFmtId="3" fontId="0" fillId="4" borderId="3" xfId="0" applyNumberFormat="1" applyFill="1" applyBorder="1" applyAlignment="1">
      <alignment horizontal="right" vertical="center" wrapText="1"/>
    </xf>
    <xf numFmtId="10" fontId="0" fillId="4" borderId="4" xfId="0" applyNumberFormat="1" applyFill="1" applyBorder="1" applyAlignment="1">
      <alignment horizontal="right" vertical="center" wrapText="1"/>
    </xf>
    <xf numFmtId="165" fontId="0" fillId="0" borderId="0" xfId="0" applyNumberFormat="1" applyAlignment="1">
      <alignment horizontal="right" vertical="center" wrapText="1"/>
    </xf>
    <xf numFmtId="0" fontId="5" fillId="0" borderId="0" xfId="0" applyFont="1" applyAlignment="1">
      <alignment vertical="center"/>
    </xf>
    <xf numFmtId="9" fontId="0" fillId="0" borderId="0" xfId="0" applyNumberFormat="1"/>
    <xf numFmtId="10" fontId="0" fillId="0" borderId="0" xfId="0" applyNumberFormat="1" applyAlignment="1">
      <alignment horizontal="right" vertical="center" wrapText="1"/>
    </xf>
    <xf numFmtId="3" fontId="2" fillId="0" borderId="0" xfId="1" applyNumberFormat="1" applyFont="1" applyAlignment="1">
      <alignment horizontal="left" vertical="center" wrapText="1"/>
    </xf>
    <xf numFmtId="3" fontId="0" fillId="0" borderId="0" xfId="1" applyNumberFormat="1" applyFont="1" applyAlignment="1">
      <alignment horizontal="left"/>
    </xf>
    <xf numFmtId="3" fontId="0" fillId="0" borderId="1" xfId="1" applyNumberFormat="1" applyFont="1" applyBorder="1" applyAlignment="1">
      <alignment horizontal="left"/>
    </xf>
    <xf numFmtId="3" fontId="2" fillId="0" borderId="0" xfId="1" applyNumberFormat="1" applyFont="1" applyAlignment="1">
      <alignment horizontal="left"/>
    </xf>
    <xf numFmtId="3" fontId="3" fillId="2" borderId="0" xfId="1" applyNumberFormat="1" applyFont="1" applyFill="1" applyAlignment="1">
      <alignment horizontal="center" vertical="center" wrapText="1"/>
    </xf>
    <xf numFmtId="0" fontId="7" fillId="0" borderId="8" xfId="0" applyFont="1" applyBorder="1" applyAlignment="1">
      <alignment horizontal="left" vertical="center" wrapText="1" indent="1" readingOrder="1"/>
    </xf>
    <xf numFmtId="164" fontId="0" fillId="0" borderId="0" xfId="0" applyNumberFormat="1"/>
    <xf numFmtId="3" fontId="0" fillId="0" borderId="0" xfId="0" applyNumberFormat="1" applyAlignment="1">
      <alignment vertical="center" wrapText="1"/>
    </xf>
    <xf numFmtId="10" fontId="0" fillId="0" borderId="0" xfId="0" applyNumberFormat="1" applyAlignment="1">
      <alignment vertical="center" wrapText="1"/>
    </xf>
    <xf numFmtId="3" fontId="0" fillId="0" borderId="0" xfId="0" applyNumberFormat="1" applyAlignment="1">
      <alignment horizontal="right" vertical="center" wrapText="1"/>
    </xf>
    <xf numFmtId="0" fontId="5" fillId="0" borderId="0" xfId="0" applyFont="1"/>
    <xf numFmtId="0" fontId="0" fillId="0" borderId="0" xfId="0" applyAlignment="1">
      <alignment wrapText="1"/>
    </xf>
  </cellXfs>
  <cellStyles count="2">
    <cellStyle name="Comma" xfId="1" builtinId="3"/>
    <cellStyle name="Normal" xfId="0" builtinId="0"/>
  </cellStyles>
  <dxfs count="15">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numFmt numFmtId="3" formatCode="#,##0"/>
      <alignment horizontal="left" textRotation="0"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alignment horizontal="left" textRotation="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tint="0.49998474074526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left" vertical="center" textRotation="0" wrapText="1" indent="0" justifyLastLine="0" shrinkToFit="0" readingOrder="0"/>
    </dxf>
    <dxf>
      <numFmt numFmtId="3" formatCode="#,##0"/>
      <alignment horizontal="left" textRotation="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tint="0.499984740745262"/>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Apple Revenue Trend (2023–2025)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Dashboard!$A$8</c:f>
              <c:strCache>
                <c:ptCount val="1"/>
                <c:pt idx="0">
                  <c:v>Metric</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Dashboard!$B$8:$D$8</c:f>
              <c:numCache>
                <c:formatCode>General</c:formatCode>
                <c:ptCount val="3"/>
                <c:pt idx="0">
                  <c:v>2023</c:v>
                </c:pt>
                <c:pt idx="1">
                  <c:v>2024</c:v>
                </c:pt>
                <c:pt idx="2">
                  <c:v>2025</c:v>
                </c:pt>
              </c:numCache>
            </c:numRef>
          </c:val>
          <c:smooth val="0"/>
          <c:extLst>
            <c:ext xmlns:c16="http://schemas.microsoft.com/office/drawing/2014/chart" uri="{C3380CC4-5D6E-409C-BE32-E72D297353CC}">
              <c16:uniqueId val="{00000000-8BC2-4BAD-8069-124E58BF1F73}"/>
            </c:ext>
          </c:extLst>
        </c:ser>
        <c:ser>
          <c:idx val="1"/>
          <c:order val="1"/>
          <c:tx>
            <c:strRef>
              <c:f>Dashboard!$A$9</c:f>
              <c:strCache>
                <c:ptCount val="1"/>
                <c:pt idx="0">
                  <c:v>Revenue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Dashboard!$B$9:$D$9</c:f>
              <c:numCache>
                <c:formatCode>#,##0</c:formatCode>
                <c:ptCount val="3"/>
                <c:pt idx="0">
                  <c:v>383285</c:v>
                </c:pt>
                <c:pt idx="1">
                  <c:v>391035</c:v>
                </c:pt>
                <c:pt idx="2">
                  <c:v>416161</c:v>
                </c:pt>
              </c:numCache>
            </c:numRef>
          </c:val>
          <c:smooth val="0"/>
          <c:extLst>
            <c:ext xmlns:c16="http://schemas.microsoft.com/office/drawing/2014/chart" uri="{C3380CC4-5D6E-409C-BE32-E72D297353CC}">
              <c16:uniqueId val="{00000001-8BC2-4BAD-8069-124E58BF1F73}"/>
            </c:ext>
          </c:extLst>
        </c:ser>
        <c:dLbls>
          <c:dLblPos val="ctr"/>
          <c:showLegendKey val="0"/>
          <c:showVal val="1"/>
          <c:showCatName val="0"/>
          <c:showSerName val="0"/>
          <c:showPercent val="0"/>
          <c:showBubbleSize val="0"/>
        </c:dLbls>
        <c:marker val="1"/>
        <c:smooth val="0"/>
        <c:axId val="1152616224"/>
        <c:axId val="1606437392"/>
      </c:lineChart>
      <c:catAx>
        <c:axId val="1152616224"/>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06437392"/>
        <c:crosses val="autoZero"/>
        <c:auto val="1"/>
        <c:lblAlgn val="ctr"/>
        <c:lblOffset val="100"/>
        <c:noMultiLvlLbl val="0"/>
      </c:catAx>
      <c:valAx>
        <c:axId val="1606437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5261622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Apple Net Income Trend (2023–2025)</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lineChart>
        <c:grouping val="stacked"/>
        <c:varyColors val="0"/>
        <c:ser>
          <c:idx val="0"/>
          <c:order val="0"/>
          <c:tx>
            <c:strRef>
              <c:f>Dashboard!$A$8</c:f>
              <c:strCache>
                <c:ptCount val="1"/>
                <c:pt idx="0">
                  <c:v>Metric</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Dashboard!$B$8:$D$8</c:f>
              <c:numCache>
                <c:formatCode>General</c:formatCode>
                <c:ptCount val="3"/>
                <c:pt idx="0">
                  <c:v>2023</c:v>
                </c:pt>
                <c:pt idx="1">
                  <c:v>2024</c:v>
                </c:pt>
                <c:pt idx="2">
                  <c:v>2025</c:v>
                </c:pt>
              </c:numCache>
            </c:numRef>
          </c:val>
          <c:smooth val="0"/>
          <c:extLst>
            <c:ext xmlns:c16="http://schemas.microsoft.com/office/drawing/2014/chart" uri="{C3380CC4-5D6E-409C-BE32-E72D297353CC}">
              <c16:uniqueId val="{00000000-63C3-49C6-9F4F-98C155DFAED9}"/>
            </c:ext>
          </c:extLst>
        </c:ser>
        <c:ser>
          <c:idx val="1"/>
          <c:order val="1"/>
          <c:tx>
            <c:strRef>
              <c:f>Dashboard!$A$12</c:f>
              <c:strCache>
                <c:ptCount val="1"/>
                <c:pt idx="0">
                  <c:v>Net Income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Dashboard!$B$12:$D$12</c:f>
              <c:numCache>
                <c:formatCode>#,##0</c:formatCode>
                <c:ptCount val="3"/>
                <c:pt idx="0">
                  <c:v>96995</c:v>
                </c:pt>
                <c:pt idx="1">
                  <c:v>93736</c:v>
                </c:pt>
                <c:pt idx="2">
                  <c:v>112010</c:v>
                </c:pt>
              </c:numCache>
            </c:numRef>
          </c:val>
          <c:smooth val="0"/>
          <c:extLst>
            <c:ext xmlns:c16="http://schemas.microsoft.com/office/drawing/2014/chart" uri="{C3380CC4-5D6E-409C-BE32-E72D297353CC}">
              <c16:uniqueId val="{00000001-63C3-49C6-9F4F-98C155DFAED9}"/>
            </c:ext>
          </c:extLst>
        </c:ser>
        <c:dLbls>
          <c:dLblPos val="ctr"/>
          <c:showLegendKey val="0"/>
          <c:showVal val="1"/>
          <c:showCatName val="0"/>
          <c:showSerName val="0"/>
          <c:showPercent val="0"/>
          <c:showBubbleSize val="0"/>
        </c:dLbls>
        <c:marker val="1"/>
        <c:smooth val="0"/>
        <c:axId val="156456095"/>
        <c:axId val="151848623"/>
      </c:lineChart>
      <c:catAx>
        <c:axId val="156456095"/>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848623"/>
        <c:crosses val="autoZero"/>
        <c:auto val="1"/>
        <c:lblAlgn val="ctr"/>
        <c:lblOffset val="100"/>
        <c:noMultiLvlLbl val="0"/>
      </c:catAx>
      <c:valAx>
        <c:axId val="1518486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645609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Apple Assets vs. Liabilities (2023–2025)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Dashboard!$A$15</c:f>
              <c:strCache>
                <c:ptCount val="1"/>
                <c:pt idx="0">
                  <c:v>Financial Position</c:v>
                </c:pt>
              </c:strCache>
            </c:strRef>
          </c:tx>
          <c:spPr>
            <a:solidFill>
              <a:schemeClr val="accent1"/>
            </a:solidFill>
            <a:ln>
              <a:noFill/>
            </a:ln>
            <a:effectLst/>
          </c:spPr>
          <c:invertIfNegative val="0"/>
          <c:val>
            <c:numRef>
              <c:f>Dashboard!$B$15:$D$15</c:f>
              <c:numCache>
                <c:formatCode>General</c:formatCode>
                <c:ptCount val="3"/>
                <c:pt idx="0">
                  <c:v>2023</c:v>
                </c:pt>
                <c:pt idx="1">
                  <c:v>2024</c:v>
                </c:pt>
                <c:pt idx="2">
                  <c:v>2025</c:v>
                </c:pt>
              </c:numCache>
            </c:numRef>
          </c:val>
          <c:extLst>
            <c:ext xmlns:c16="http://schemas.microsoft.com/office/drawing/2014/chart" uri="{C3380CC4-5D6E-409C-BE32-E72D297353CC}">
              <c16:uniqueId val="{00000000-2849-4CF7-8E39-D6E5DCF10C7A}"/>
            </c:ext>
          </c:extLst>
        </c:ser>
        <c:ser>
          <c:idx val="1"/>
          <c:order val="1"/>
          <c:tx>
            <c:strRef>
              <c:f>Dashboard!$A$16</c:f>
              <c:strCache>
                <c:ptCount val="1"/>
                <c:pt idx="0">
                  <c:v>Total Assets</c:v>
                </c:pt>
              </c:strCache>
            </c:strRef>
          </c:tx>
          <c:spPr>
            <a:solidFill>
              <a:schemeClr val="accent2"/>
            </a:solidFill>
            <a:ln>
              <a:noFill/>
            </a:ln>
            <a:effectLst/>
          </c:spPr>
          <c:invertIfNegative val="0"/>
          <c:val>
            <c:numRef>
              <c:f>Dashboard!$B$16:$D$16</c:f>
              <c:numCache>
                <c:formatCode>#,##0</c:formatCode>
                <c:ptCount val="3"/>
                <c:pt idx="0">
                  <c:v>352583</c:v>
                </c:pt>
                <c:pt idx="1">
                  <c:v>364980</c:v>
                </c:pt>
                <c:pt idx="2">
                  <c:v>359241</c:v>
                </c:pt>
              </c:numCache>
            </c:numRef>
          </c:val>
          <c:extLst>
            <c:ext xmlns:c16="http://schemas.microsoft.com/office/drawing/2014/chart" uri="{C3380CC4-5D6E-409C-BE32-E72D297353CC}">
              <c16:uniqueId val="{00000001-2849-4CF7-8E39-D6E5DCF10C7A}"/>
            </c:ext>
          </c:extLst>
        </c:ser>
        <c:ser>
          <c:idx val="2"/>
          <c:order val="2"/>
          <c:tx>
            <c:strRef>
              <c:f>Dashboard!$A$17</c:f>
              <c:strCache>
                <c:ptCount val="1"/>
                <c:pt idx="0">
                  <c:v>Total Liabilities</c:v>
                </c:pt>
              </c:strCache>
            </c:strRef>
          </c:tx>
          <c:spPr>
            <a:solidFill>
              <a:schemeClr val="accent3"/>
            </a:solidFill>
            <a:ln>
              <a:noFill/>
            </a:ln>
            <a:effectLst/>
          </c:spPr>
          <c:invertIfNegative val="0"/>
          <c:val>
            <c:numRef>
              <c:f>Dashboard!$B$17:$D$17</c:f>
              <c:numCache>
                <c:formatCode>#,##0</c:formatCode>
                <c:ptCount val="3"/>
                <c:pt idx="0">
                  <c:v>290437</c:v>
                </c:pt>
                <c:pt idx="1">
                  <c:v>308030</c:v>
                </c:pt>
                <c:pt idx="2">
                  <c:v>285508</c:v>
                </c:pt>
              </c:numCache>
            </c:numRef>
          </c:val>
          <c:extLst>
            <c:ext xmlns:c16="http://schemas.microsoft.com/office/drawing/2014/chart" uri="{C3380CC4-5D6E-409C-BE32-E72D297353CC}">
              <c16:uniqueId val="{00000002-2849-4CF7-8E39-D6E5DCF10C7A}"/>
            </c:ext>
          </c:extLst>
        </c:ser>
        <c:dLbls>
          <c:showLegendKey val="0"/>
          <c:showVal val="0"/>
          <c:showCatName val="0"/>
          <c:showSerName val="0"/>
          <c:showPercent val="0"/>
          <c:showBubbleSize val="0"/>
        </c:dLbls>
        <c:gapWidth val="219"/>
        <c:overlap val="-27"/>
        <c:axId val="2114909023"/>
        <c:axId val="1924743855"/>
      </c:barChart>
      <c:catAx>
        <c:axId val="2114909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743855"/>
        <c:crosses val="autoZero"/>
        <c:auto val="1"/>
        <c:lblAlgn val="ctr"/>
        <c:lblOffset val="100"/>
        <c:noMultiLvlLbl val="0"/>
      </c:catAx>
      <c:valAx>
        <c:axId val="192474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09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Apple Profitability Margins (2023–2025)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Dashboard!$F$9</c:f>
              <c:strCache>
                <c:ptCount val="1"/>
                <c:pt idx="0">
                  <c:v>Gross Profit Margin</c:v>
                </c:pt>
              </c:strCache>
            </c:strRef>
          </c:tx>
          <c:spPr>
            <a:solidFill>
              <a:schemeClr val="accent1"/>
            </a:solidFill>
            <a:ln>
              <a:noFill/>
            </a:ln>
            <a:effectLst/>
          </c:spPr>
          <c:invertIfNegative val="0"/>
          <c:cat>
            <c:numRef>
              <c:f>Dashboard!$G$8:$I$8</c:f>
              <c:numCache>
                <c:formatCode>General</c:formatCode>
                <c:ptCount val="3"/>
                <c:pt idx="0">
                  <c:v>2023</c:v>
                </c:pt>
                <c:pt idx="1">
                  <c:v>2024</c:v>
                </c:pt>
                <c:pt idx="2">
                  <c:v>2025</c:v>
                </c:pt>
              </c:numCache>
            </c:numRef>
          </c:cat>
          <c:val>
            <c:numRef>
              <c:f>Dashboard!$G$9:$I$9</c:f>
              <c:numCache>
                <c:formatCode>0.00%</c:formatCode>
                <c:ptCount val="3"/>
                <c:pt idx="0">
                  <c:v>0.44131129577207562</c:v>
                </c:pt>
                <c:pt idx="1">
                  <c:v>0.46206349815233932</c:v>
                </c:pt>
                <c:pt idx="2">
                  <c:v>0.46905164107160452</c:v>
                </c:pt>
              </c:numCache>
            </c:numRef>
          </c:val>
          <c:extLst>
            <c:ext xmlns:c16="http://schemas.microsoft.com/office/drawing/2014/chart" uri="{C3380CC4-5D6E-409C-BE32-E72D297353CC}">
              <c16:uniqueId val="{00000000-A26B-4B28-B964-AD107DF48814}"/>
            </c:ext>
          </c:extLst>
        </c:ser>
        <c:ser>
          <c:idx val="1"/>
          <c:order val="1"/>
          <c:tx>
            <c:strRef>
              <c:f>Dashboard!$F$10</c:f>
              <c:strCache>
                <c:ptCount val="1"/>
                <c:pt idx="0">
                  <c:v>Operating Profit Margin</c:v>
                </c:pt>
              </c:strCache>
            </c:strRef>
          </c:tx>
          <c:spPr>
            <a:solidFill>
              <a:schemeClr val="accent2"/>
            </a:solidFill>
            <a:ln>
              <a:noFill/>
            </a:ln>
            <a:effectLst/>
          </c:spPr>
          <c:invertIfNegative val="0"/>
          <c:cat>
            <c:numRef>
              <c:f>Dashboard!$G$8:$I$8</c:f>
              <c:numCache>
                <c:formatCode>General</c:formatCode>
                <c:ptCount val="3"/>
                <c:pt idx="0">
                  <c:v>2023</c:v>
                </c:pt>
                <c:pt idx="1">
                  <c:v>2024</c:v>
                </c:pt>
                <c:pt idx="2">
                  <c:v>2025</c:v>
                </c:pt>
              </c:numCache>
            </c:numRef>
          </c:cat>
          <c:val>
            <c:numRef>
              <c:f>Dashboard!$G$10:$I$10</c:f>
              <c:numCache>
                <c:formatCode>0.00%</c:formatCode>
                <c:ptCount val="3"/>
                <c:pt idx="0">
                  <c:v>0.29821412265024722</c:v>
                </c:pt>
                <c:pt idx="1">
                  <c:v>0.31510222870075566</c:v>
                </c:pt>
                <c:pt idx="2">
                  <c:v>0.31970799762591884</c:v>
                </c:pt>
              </c:numCache>
            </c:numRef>
          </c:val>
          <c:extLst>
            <c:ext xmlns:c16="http://schemas.microsoft.com/office/drawing/2014/chart" uri="{C3380CC4-5D6E-409C-BE32-E72D297353CC}">
              <c16:uniqueId val="{00000001-A26B-4B28-B964-AD107DF48814}"/>
            </c:ext>
          </c:extLst>
        </c:ser>
        <c:ser>
          <c:idx val="2"/>
          <c:order val="2"/>
          <c:tx>
            <c:strRef>
              <c:f>Dashboard!$F$11</c:f>
              <c:strCache>
                <c:ptCount val="1"/>
                <c:pt idx="0">
                  <c:v>Net Profit Margin</c:v>
                </c:pt>
              </c:strCache>
            </c:strRef>
          </c:tx>
          <c:spPr>
            <a:solidFill>
              <a:schemeClr val="accent3"/>
            </a:solidFill>
            <a:ln>
              <a:noFill/>
            </a:ln>
            <a:effectLst/>
          </c:spPr>
          <c:invertIfNegative val="0"/>
          <c:cat>
            <c:numRef>
              <c:f>Dashboard!$G$8:$I$8</c:f>
              <c:numCache>
                <c:formatCode>General</c:formatCode>
                <c:ptCount val="3"/>
                <c:pt idx="0">
                  <c:v>2023</c:v>
                </c:pt>
                <c:pt idx="1">
                  <c:v>2024</c:v>
                </c:pt>
                <c:pt idx="2">
                  <c:v>2025</c:v>
                </c:pt>
              </c:numCache>
            </c:numRef>
          </c:cat>
          <c:val>
            <c:numRef>
              <c:f>Dashboard!$G$11:$I$11</c:f>
              <c:numCache>
                <c:formatCode>0.00%</c:formatCode>
                <c:ptCount val="3"/>
                <c:pt idx="0">
                  <c:v>0.25306234264320282</c:v>
                </c:pt>
                <c:pt idx="1">
                  <c:v>0.23971255769943867</c:v>
                </c:pt>
                <c:pt idx="2">
                  <c:v>0.26915064121818238</c:v>
                </c:pt>
              </c:numCache>
            </c:numRef>
          </c:val>
          <c:extLst>
            <c:ext xmlns:c16="http://schemas.microsoft.com/office/drawing/2014/chart" uri="{C3380CC4-5D6E-409C-BE32-E72D297353CC}">
              <c16:uniqueId val="{00000002-A26B-4B28-B964-AD107DF48814}"/>
            </c:ext>
          </c:extLst>
        </c:ser>
        <c:dLbls>
          <c:showLegendKey val="0"/>
          <c:showVal val="0"/>
          <c:showCatName val="0"/>
          <c:showSerName val="0"/>
          <c:showPercent val="0"/>
          <c:showBubbleSize val="0"/>
        </c:dLbls>
        <c:gapWidth val="219"/>
        <c:overlap val="-27"/>
        <c:axId val="1983902783"/>
        <c:axId val="2130569135"/>
      </c:barChart>
      <c:catAx>
        <c:axId val="19839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69135"/>
        <c:crosses val="autoZero"/>
        <c:auto val="1"/>
        <c:lblAlgn val="ctr"/>
        <c:lblOffset val="100"/>
        <c:noMultiLvlLbl val="0"/>
      </c:catAx>
      <c:valAx>
        <c:axId val="2130569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90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6350</xdr:rowOff>
    </xdr:from>
    <xdr:to>
      <xdr:col>3</xdr:col>
      <xdr:colOff>368300</xdr:colOff>
      <xdr:row>36</xdr:row>
      <xdr:rowOff>171450</xdr:rowOff>
    </xdr:to>
    <xdr:graphicFrame macro="">
      <xdr:nvGraphicFramePr>
        <xdr:cNvPr id="3" name="Chart 2">
          <a:extLst>
            <a:ext uri="{FF2B5EF4-FFF2-40B4-BE49-F238E27FC236}">
              <a16:creationId xmlns:a16="http://schemas.microsoft.com/office/drawing/2014/main" id="{62FB5BB4-7DE5-6458-3444-F0B3A91CD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xdr:colOff>
      <xdr:row>22</xdr:row>
      <xdr:rowOff>12700</xdr:rowOff>
    </xdr:from>
    <xdr:to>
      <xdr:col>9</xdr:col>
      <xdr:colOff>581025</xdr:colOff>
      <xdr:row>36</xdr:row>
      <xdr:rowOff>177800</xdr:rowOff>
    </xdr:to>
    <xdr:graphicFrame macro="">
      <xdr:nvGraphicFramePr>
        <xdr:cNvPr id="4" name="Chart 3">
          <a:extLst>
            <a:ext uri="{FF2B5EF4-FFF2-40B4-BE49-F238E27FC236}">
              <a16:creationId xmlns:a16="http://schemas.microsoft.com/office/drawing/2014/main" id="{BEF90E4E-E97D-1F8E-3CA8-0119DC378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39</xdr:row>
      <xdr:rowOff>5881</xdr:rowOff>
    </xdr:from>
    <xdr:to>
      <xdr:col>3</xdr:col>
      <xdr:colOff>335748</xdr:colOff>
      <xdr:row>53</xdr:row>
      <xdr:rowOff>177665</xdr:rowOff>
    </xdr:to>
    <xdr:graphicFrame macro="">
      <xdr:nvGraphicFramePr>
        <xdr:cNvPr id="2" name="Chart 1">
          <a:extLst>
            <a:ext uri="{FF2B5EF4-FFF2-40B4-BE49-F238E27FC236}">
              <a16:creationId xmlns:a16="http://schemas.microsoft.com/office/drawing/2014/main" id="{67282DC1-602E-51E4-F179-C265999BB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611643</xdr:colOff>
      <xdr:row>39</xdr:row>
      <xdr:rowOff>584</xdr:rowOff>
    </xdr:from>
    <xdr:to>
      <xdr:col>10</xdr:col>
      <xdr:colOff>0</xdr:colOff>
      <xdr:row>54</xdr:row>
      <xdr:rowOff>6715</xdr:rowOff>
    </xdr:to>
    <xdr:graphicFrame macro="">
      <xdr:nvGraphicFramePr>
        <xdr:cNvPr id="7" name="Chart 6">
          <a:extLst>
            <a:ext uri="{FF2B5EF4-FFF2-40B4-BE49-F238E27FC236}">
              <a16:creationId xmlns:a16="http://schemas.microsoft.com/office/drawing/2014/main" id="{0DD1B956-F8F7-19B2-6D48-617A4C1DC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11273B-845C-487D-BBBF-A483E0654AF8}" name="Table3" displayName="Table3" ref="A1:E17" totalsRowShown="0" headerRowDxfId="14" dataDxfId="13" headerRowCellStyle="Comma" dataCellStyle="Comma">
  <autoFilter ref="A1:E17" xr:uid="{8A11273B-845C-487D-BBBF-A483E0654AF8}"/>
  <tableColumns count="5">
    <tableColumn id="1" xr3:uid="{0B42DBD6-865F-4E20-931A-709899D9DBC6}" name="Particulars" dataDxfId="12" dataCellStyle="Comma"/>
    <tableColumn id="2" xr3:uid="{E7EC8055-1C1B-48E0-97A9-71D96F572856}" name="2025" dataDxfId="11" dataCellStyle="Comma"/>
    <tableColumn id="3" xr3:uid="{F4638727-D12F-404B-BD31-7BD662B6B47B}" name="2024" dataDxfId="10" dataCellStyle="Comma"/>
    <tableColumn id="4" xr3:uid="{A56B2988-7DAD-400F-A9B5-082E38394A26}" name="2023" dataDxfId="9" dataCellStyle="Comma"/>
    <tableColumn id="7" xr3:uid="{EFD6F65A-0F4C-45CA-95D9-FBC67029F409}" name="2,022" dataDxfId="8" dataCellStyle="Comma"/>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858D6F-DF9F-4949-A4AA-FADA29A0355B}" name="Table5" displayName="Table5" ref="A1:D12" totalsRowShown="0" headerRowDxfId="7" dataDxfId="6">
  <autoFilter ref="A1:D12" xr:uid="{89858D6F-DF9F-4949-A4AA-FADA29A0355B}"/>
  <tableColumns count="4">
    <tableColumn id="1" xr3:uid="{23EAB081-BC22-41E9-8F08-0FEC495205C1}" name="Particulars" dataDxfId="5"/>
    <tableColumn id="2" xr3:uid="{9D6A7175-C773-467D-8428-675CA99821C4}" name="2025" dataDxfId="4"/>
    <tableColumn id="3" xr3:uid="{27C0F5EC-68CC-4992-B772-DF471C29533D}" name="2024" dataDxfId="3"/>
    <tableColumn id="4" xr3:uid="{6EC904E2-920B-4FA4-99D5-BC8A5AE490CF}" name="2023"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2BE0-C23F-4736-AEDD-AD736737AAFF}">
  <dimension ref="A1:A14"/>
  <sheetViews>
    <sheetView workbookViewId="0">
      <selection activeCell="D11" sqref="D11"/>
    </sheetView>
  </sheetViews>
  <sheetFormatPr defaultRowHeight="14.5" x14ac:dyDescent="0.35"/>
  <cols>
    <col min="1" max="1" width="24.26953125" bestFit="1" customWidth="1"/>
  </cols>
  <sheetData>
    <row r="1" spans="1:1" x14ac:dyDescent="0.35">
      <c r="A1" s="2" t="s">
        <v>0</v>
      </c>
    </row>
    <row r="2" spans="1:1" x14ac:dyDescent="0.35">
      <c r="A2" s="2" t="s">
        <v>1</v>
      </c>
    </row>
    <row r="3" spans="1:1" x14ac:dyDescent="0.35">
      <c r="A3" s="2"/>
    </row>
    <row r="4" spans="1:1" x14ac:dyDescent="0.35">
      <c r="A4" s="2" t="s">
        <v>2</v>
      </c>
    </row>
    <row r="5" spans="1:1" x14ac:dyDescent="0.35">
      <c r="A5" s="2" t="s">
        <v>8</v>
      </c>
    </row>
    <row r="6" spans="1:1" x14ac:dyDescent="0.35">
      <c r="A6" s="2"/>
    </row>
    <row r="7" spans="1:1" x14ac:dyDescent="0.35">
      <c r="A7" s="2" t="s">
        <v>3</v>
      </c>
    </row>
    <row r="8" spans="1:1" x14ac:dyDescent="0.35">
      <c r="A8" s="2" t="s">
        <v>4</v>
      </c>
    </row>
    <row r="9" spans="1:1" x14ac:dyDescent="0.35">
      <c r="A9" s="2"/>
    </row>
    <row r="10" spans="1:1" x14ac:dyDescent="0.35">
      <c r="A10" s="2" t="s">
        <v>5</v>
      </c>
    </row>
    <row r="11" spans="1:1" x14ac:dyDescent="0.35">
      <c r="A11" s="2" t="s">
        <v>6</v>
      </c>
    </row>
    <row r="12" spans="1:1" x14ac:dyDescent="0.35">
      <c r="A12" s="2"/>
    </row>
    <row r="13" spans="1:1" x14ac:dyDescent="0.35">
      <c r="A13" s="2" t="s">
        <v>7</v>
      </c>
    </row>
    <row r="14" spans="1:1" x14ac:dyDescent="0.35">
      <c r="A14" s="3">
        <v>46235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F62D1-8D79-4325-B9DF-241AE18BD421}">
  <dimension ref="A1:E17"/>
  <sheetViews>
    <sheetView workbookViewId="0">
      <selection activeCell="G2" sqref="G2"/>
    </sheetView>
  </sheetViews>
  <sheetFormatPr defaultRowHeight="14.5" x14ac:dyDescent="0.35"/>
  <cols>
    <col min="1" max="1" width="11.90625" style="8" bestFit="1" customWidth="1"/>
    <col min="2" max="4" width="9.26953125" style="8" bestFit="1" customWidth="1"/>
    <col min="5" max="5" width="10.1796875" style="8" bestFit="1" customWidth="1"/>
    <col min="6" max="16384" width="8.7265625" style="8"/>
  </cols>
  <sheetData>
    <row r="1" spans="1:5" ht="15" thickBot="1" x14ac:dyDescent="0.4">
      <c r="A1" s="7" t="s">
        <v>9</v>
      </c>
      <c r="B1" s="7" t="s">
        <v>41</v>
      </c>
      <c r="C1" s="7" t="s">
        <v>42</v>
      </c>
      <c r="D1" s="7" t="s">
        <v>43</v>
      </c>
      <c r="E1" s="39" t="s">
        <v>70</v>
      </c>
    </row>
    <row r="2" spans="1:5" ht="29.5" thickBot="1" x14ac:dyDescent="0.4">
      <c r="A2" s="35" t="s">
        <v>10</v>
      </c>
      <c r="B2" s="36">
        <v>307003</v>
      </c>
      <c r="C2" s="36">
        <v>294866</v>
      </c>
      <c r="D2" s="36">
        <v>298085</v>
      </c>
      <c r="E2" s="40" t="s">
        <v>55</v>
      </c>
    </row>
    <row r="3" spans="1:5" ht="29.5" thickBot="1" x14ac:dyDescent="0.4">
      <c r="A3" s="35" t="s">
        <v>11</v>
      </c>
      <c r="B3" s="36">
        <v>109158</v>
      </c>
      <c r="C3" s="36">
        <v>96169</v>
      </c>
      <c r="D3" s="36">
        <v>85200</v>
      </c>
      <c r="E3" s="40" t="s">
        <v>56</v>
      </c>
    </row>
    <row r="4" spans="1:5" ht="29.5" thickBot="1" x14ac:dyDescent="0.4">
      <c r="A4" s="35" t="s">
        <v>12</v>
      </c>
      <c r="B4" s="36">
        <v>416161</v>
      </c>
      <c r="C4" s="36">
        <v>391035</v>
      </c>
      <c r="D4" s="36">
        <v>383285</v>
      </c>
      <c r="E4" s="40" t="s">
        <v>57</v>
      </c>
    </row>
    <row r="5" spans="1:5" ht="15" thickBot="1" x14ac:dyDescent="0.4">
      <c r="A5" s="35" t="s">
        <v>13</v>
      </c>
      <c r="B5" s="36">
        <v>194116</v>
      </c>
      <c r="C5" s="36">
        <v>185233</v>
      </c>
      <c r="D5" s="36">
        <v>189282</v>
      </c>
      <c r="E5" s="40" t="s">
        <v>58</v>
      </c>
    </row>
    <row r="6" spans="1:5" ht="15" thickBot="1" x14ac:dyDescent="0.4">
      <c r="A6" s="35" t="s">
        <v>14</v>
      </c>
      <c r="B6" s="36">
        <v>26844</v>
      </c>
      <c r="C6" s="36">
        <v>25119</v>
      </c>
      <c r="D6" s="36">
        <v>24855</v>
      </c>
      <c r="E6" s="40" t="s">
        <v>59</v>
      </c>
    </row>
    <row r="7" spans="1:5" ht="15" thickBot="1" x14ac:dyDescent="0.4">
      <c r="A7" s="35" t="s">
        <v>15</v>
      </c>
      <c r="B7" s="36">
        <v>220960</v>
      </c>
      <c r="C7" s="36">
        <v>210352</v>
      </c>
      <c r="D7" s="36">
        <v>214137</v>
      </c>
      <c r="E7" s="40" t="s">
        <v>60</v>
      </c>
    </row>
    <row r="8" spans="1:5" ht="15" thickBot="1" x14ac:dyDescent="0.4">
      <c r="A8" s="35" t="s">
        <v>16</v>
      </c>
      <c r="B8" s="36">
        <v>195201</v>
      </c>
      <c r="C8" s="36">
        <v>180683</v>
      </c>
      <c r="D8" s="36">
        <v>169148</v>
      </c>
      <c r="E8" s="40" t="s">
        <v>61</v>
      </c>
    </row>
    <row r="9" spans="1:5" ht="15" thickBot="1" x14ac:dyDescent="0.4">
      <c r="A9" s="35" t="s">
        <v>17</v>
      </c>
      <c r="B9" s="36">
        <v>34550</v>
      </c>
      <c r="C9" s="36">
        <v>31370</v>
      </c>
      <c r="D9" s="36">
        <v>29915</v>
      </c>
      <c r="E9" s="40" t="s">
        <v>62</v>
      </c>
    </row>
    <row r="10" spans="1:5" ht="15" thickBot="1" x14ac:dyDescent="0.4">
      <c r="A10" s="35" t="s">
        <v>18</v>
      </c>
      <c r="B10" s="36">
        <v>27601</v>
      </c>
      <c r="C10" s="36">
        <v>26097</v>
      </c>
      <c r="D10" s="36">
        <v>24932</v>
      </c>
      <c r="E10" s="40" t="s">
        <v>63</v>
      </c>
    </row>
    <row r="11" spans="1:5" ht="44" thickBot="1" x14ac:dyDescent="0.4">
      <c r="A11" s="35" t="s">
        <v>19</v>
      </c>
      <c r="B11" s="36">
        <v>62151</v>
      </c>
      <c r="C11" s="36">
        <v>57467</v>
      </c>
      <c r="D11" s="36">
        <v>54847</v>
      </c>
      <c r="E11" s="40" t="s">
        <v>64</v>
      </c>
    </row>
    <row r="12" spans="1:5" ht="29.5" thickBot="1" x14ac:dyDescent="0.4">
      <c r="A12" s="35" t="s">
        <v>20</v>
      </c>
      <c r="B12" s="36">
        <v>133050</v>
      </c>
      <c r="C12" s="36">
        <v>123216</v>
      </c>
      <c r="D12" s="36">
        <v>114301</v>
      </c>
      <c r="E12" s="40" t="s">
        <v>65</v>
      </c>
    </row>
    <row r="13" spans="1:5" ht="29.5" thickBot="1" x14ac:dyDescent="0.4">
      <c r="A13" s="35" t="s">
        <v>21</v>
      </c>
      <c r="B13" s="36">
        <v>-321</v>
      </c>
      <c r="C13" s="36">
        <v>269</v>
      </c>
      <c r="D13" s="36">
        <v>-565</v>
      </c>
      <c r="E13" s="40" t="s">
        <v>66</v>
      </c>
    </row>
    <row r="14" spans="1:5" ht="29.5" thickBot="1" x14ac:dyDescent="0.4">
      <c r="A14" s="35" t="s">
        <v>22</v>
      </c>
      <c r="B14" s="36">
        <v>132729</v>
      </c>
      <c r="C14" s="36">
        <v>123485</v>
      </c>
      <c r="D14" s="36">
        <v>113736</v>
      </c>
      <c r="E14" s="40" t="s">
        <v>67</v>
      </c>
    </row>
    <row r="15" spans="1:5" ht="15" thickBot="1" x14ac:dyDescent="0.4">
      <c r="A15" s="35" t="s">
        <v>23</v>
      </c>
      <c r="B15" s="37">
        <v>20719</v>
      </c>
      <c r="C15" s="36">
        <v>29749</v>
      </c>
      <c r="D15" s="36">
        <v>16741</v>
      </c>
      <c r="E15" s="40" t="s">
        <v>68</v>
      </c>
    </row>
    <row r="16" spans="1:5" ht="15" thickBot="1" x14ac:dyDescent="0.4">
      <c r="A16" s="35" t="s">
        <v>24</v>
      </c>
      <c r="B16" s="35">
        <v>112010</v>
      </c>
      <c r="C16" s="36">
        <v>93736</v>
      </c>
      <c r="D16" s="36">
        <v>96995</v>
      </c>
      <c r="E16" s="40" t="s">
        <v>69</v>
      </c>
    </row>
    <row r="17" spans="1:5" x14ac:dyDescent="0.35">
      <c r="A17" s="35"/>
      <c r="B17" s="38"/>
      <c r="C17" s="35"/>
      <c r="D17" s="35"/>
      <c r="E17" s="35"/>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22AA-69CC-4E68-BE14-43AC70DC8ED4}">
  <dimension ref="A1:D12"/>
  <sheetViews>
    <sheetView zoomScaleNormal="100" workbookViewId="0">
      <selection activeCell="I4" sqref="I4"/>
    </sheetView>
  </sheetViews>
  <sheetFormatPr defaultRowHeight="14.5" x14ac:dyDescent="0.35"/>
  <cols>
    <col min="1" max="1" width="11.7265625" style="1" customWidth="1"/>
    <col min="2" max="4" width="8.7265625" style="1" bestFit="1" customWidth="1"/>
    <col min="5" max="16384" width="8.7265625" style="1"/>
  </cols>
  <sheetData>
    <row r="1" spans="1:4" x14ac:dyDescent="0.35">
      <c r="A1" s="5" t="s">
        <v>9</v>
      </c>
      <c r="B1" s="5" t="s">
        <v>41</v>
      </c>
      <c r="C1" s="5" t="s">
        <v>42</v>
      </c>
      <c r="D1" s="5" t="s">
        <v>43</v>
      </c>
    </row>
    <row r="2" spans="1:4" x14ac:dyDescent="0.35">
      <c r="A2" s="6" t="s">
        <v>25</v>
      </c>
      <c r="B2" s="2">
        <v>35934</v>
      </c>
      <c r="C2" s="11">
        <v>29943</v>
      </c>
      <c r="D2" s="11">
        <v>29965</v>
      </c>
    </row>
    <row r="3" spans="1:4" ht="29" x14ac:dyDescent="0.35">
      <c r="A3" s="6" t="s">
        <v>26</v>
      </c>
      <c r="B3" s="10">
        <v>18763</v>
      </c>
      <c r="C3" s="11">
        <v>35228</v>
      </c>
      <c r="D3" s="11">
        <v>31590</v>
      </c>
    </row>
    <row r="4" spans="1:4" ht="29" x14ac:dyDescent="0.35">
      <c r="A4" s="6" t="s">
        <v>27</v>
      </c>
      <c r="B4" s="11">
        <v>39777</v>
      </c>
      <c r="C4" s="11">
        <v>33410</v>
      </c>
      <c r="D4" s="11">
        <v>29508</v>
      </c>
    </row>
    <row r="5" spans="1:4" x14ac:dyDescent="0.35">
      <c r="A5" s="6" t="s">
        <v>28</v>
      </c>
      <c r="B5" s="11">
        <v>5718</v>
      </c>
      <c r="C5" s="11">
        <v>7286</v>
      </c>
      <c r="D5" s="11">
        <v>6331</v>
      </c>
    </row>
    <row r="6" spans="1:4" ht="43.5" x14ac:dyDescent="0.35">
      <c r="A6" s="6" t="s">
        <v>29</v>
      </c>
      <c r="B6" s="11">
        <v>147957</v>
      </c>
      <c r="C6" s="11">
        <v>152987</v>
      </c>
      <c r="D6" s="11">
        <v>143566</v>
      </c>
    </row>
    <row r="7" spans="1:4" ht="43.5" x14ac:dyDescent="0.35">
      <c r="A7" s="6" t="s">
        <v>30</v>
      </c>
      <c r="B7" s="11">
        <v>211284</v>
      </c>
      <c r="C7" s="11">
        <v>211993</v>
      </c>
      <c r="D7" s="11">
        <v>209017</v>
      </c>
    </row>
    <row r="8" spans="1:4" x14ac:dyDescent="0.35">
      <c r="A8" s="6" t="s">
        <v>31</v>
      </c>
      <c r="B8" s="11">
        <v>359241</v>
      </c>
      <c r="C8" s="11">
        <v>364980</v>
      </c>
      <c r="D8" s="11">
        <v>352583</v>
      </c>
    </row>
    <row r="9" spans="1:4" ht="43.5" x14ac:dyDescent="0.35">
      <c r="A9" s="6" t="s">
        <v>32</v>
      </c>
      <c r="B9" s="11">
        <v>165631</v>
      </c>
      <c r="C9" s="11">
        <v>176392</v>
      </c>
      <c r="D9" s="11">
        <v>145308</v>
      </c>
    </row>
    <row r="10" spans="1:4" ht="43.5" x14ac:dyDescent="0.35">
      <c r="A10" s="6" t="s">
        <v>33</v>
      </c>
      <c r="B10" s="11">
        <v>119877</v>
      </c>
      <c r="C10" s="11">
        <v>131638</v>
      </c>
      <c r="D10" s="11">
        <v>145129</v>
      </c>
    </row>
    <row r="11" spans="1:4" ht="29" x14ac:dyDescent="0.35">
      <c r="A11" s="6" t="s">
        <v>34</v>
      </c>
      <c r="B11" s="11">
        <v>285508</v>
      </c>
      <c r="C11" s="11">
        <v>308030</v>
      </c>
      <c r="D11" s="11">
        <v>290437</v>
      </c>
    </row>
    <row r="12" spans="1:4" ht="29" x14ac:dyDescent="0.35">
      <c r="A12" s="6" t="s">
        <v>35</v>
      </c>
      <c r="B12" s="11">
        <v>73733</v>
      </c>
      <c r="C12" s="11">
        <v>56950</v>
      </c>
      <c r="D12" s="11">
        <v>62146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9D22F-8E5C-45FD-BD1F-297420052B69}">
  <dimension ref="A1:D6"/>
  <sheetViews>
    <sheetView workbookViewId="0">
      <selection activeCell="E14" sqref="E14"/>
    </sheetView>
  </sheetViews>
  <sheetFormatPr defaultRowHeight="14.5" x14ac:dyDescent="0.35"/>
  <cols>
    <col min="1" max="1" width="10.90625" style="4" bestFit="1" customWidth="1"/>
    <col min="2" max="4" width="9.54296875" style="4" bestFit="1" customWidth="1"/>
    <col min="5" max="16384" width="8.7265625" style="4"/>
  </cols>
  <sheetData>
    <row r="1" spans="1:4" x14ac:dyDescent="0.35">
      <c r="A1" s="5" t="s">
        <v>9</v>
      </c>
      <c r="B1" s="5">
        <v>2025</v>
      </c>
      <c r="C1" s="5">
        <v>2024</v>
      </c>
      <c r="D1" s="5">
        <v>2023</v>
      </c>
    </row>
    <row r="2" spans="1:4" ht="29" x14ac:dyDescent="0.35">
      <c r="A2" s="6" t="s">
        <v>36</v>
      </c>
      <c r="B2" s="9">
        <v>111482</v>
      </c>
      <c r="C2" s="9">
        <v>118254</v>
      </c>
      <c r="D2" s="9">
        <v>110543</v>
      </c>
    </row>
    <row r="3" spans="1:4" ht="29" x14ac:dyDescent="0.35">
      <c r="A3" s="6" t="s">
        <v>37</v>
      </c>
      <c r="B3" s="9">
        <v>15195</v>
      </c>
      <c r="C3" s="9">
        <v>2935</v>
      </c>
      <c r="D3" s="9">
        <v>3705</v>
      </c>
    </row>
    <row r="4" spans="1:4" ht="29" x14ac:dyDescent="0.35">
      <c r="A4" s="6" t="s">
        <v>38</v>
      </c>
      <c r="B4" s="9">
        <v>-120686</v>
      </c>
      <c r="C4" s="9">
        <v>-121983</v>
      </c>
      <c r="D4" s="9">
        <v>-108488</v>
      </c>
    </row>
    <row r="5" spans="1:4" ht="29" x14ac:dyDescent="0.35">
      <c r="A5" s="6" t="s">
        <v>39</v>
      </c>
      <c r="B5" s="9">
        <v>5991</v>
      </c>
      <c r="C5" s="9">
        <v>-794</v>
      </c>
      <c r="D5" s="9">
        <v>5760</v>
      </c>
    </row>
    <row r="6" spans="1:4" x14ac:dyDescent="0.35">
      <c r="A6" s="6" t="s">
        <v>40</v>
      </c>
      <c r="B6" s="9">
        <v>35934</v>
      </c>
      <c r="C6" s="9">
        <v>29943</v>
      </c>
      <c r="D6" s="9">
        <v>30737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F57C-79EE-4642-BB27-77FE6FA74CB8}">
  <dimension ref="A1:E8"/>
  <sheetViews>
    <sheetView workbookViewId="0">
      <selection activeCell="G14" sqref="G14"/>
    </sheetView>
  </sheetViews>
  <sheetFormatPr defaultRowHeight="14.5" x14ac:dyDescent="0.35"/>
  <cols>
    <col min="1" max="1" width="11.90625" customWidth="1"/>
    <col min="2" max="3" width="8.90625" bestFit="1" customWidth="1"/>
    <col min="4" max="4" width="7.1796875" bestFit="1" customWidth="1"/>
    <col min="5" max="5" width="11.08984375" customWidth="1"/>
  </cols>
  <sheetData>
    <row r="1" spans="1:5" x14ac:dyDescent="0.35">
      <c r="A1" s="16" t="s">
        <v>9</v>
      </c>
      <c r="B1" s="17" t="s">
        <v>41</v>
      </c>
      <c r="C1" s="17" t="s">
        <v>42</v>
      </c>
      <c r="D1" s="17" t="s">
        <v>44</v>
      </c>
      <c r="E1" s="18" t="s">
        <v>45</v>
      </c>
    </row>
    <row r="2" spans="1:5" ht="29" x14ac:dyDescent="0.35">
      <c r="A2" s="19" t="s">
        <v>12</v>
      </c>
      <c r="B2" s="20">
        <f>'Income Statement'!B4</f>
        <v>416161</v>
      </c>
      <c r="C2" s="20">
        <f>'Income Statement'!C4</f>
        <v>391035</v>
      </c>
      <c r="D2" s="21">
        <f t="shared" ref="D2:D8" si="0">B2-C2</f>
        <v>25126</v>
      </c>
      <c r="E2" s="22">
        <f>(B2-C2)/C2</f>
        <v>6.4255117828327393E-2</v>
      </c>
    </row>
    <row r="3" spans="1:5" x14ac:dyDescent="0.35">
      <c r="A3" s="23" t="s">
        <v>16</v>
      </c>
      <c r="B3" s="24">
        <f>'Income Statement'!B8</f>
        <v>195201</v>
      </c>
      <c r="C3" s="24">
        <f>'Income Statement'!C8</f>
        <v>180683</v>
      </c>
      <c r="D3" s="25">
        <f t="shared" si="0"/>
        <v>14518</v>
      </c>
      <c r="E3" s="26">
        <f t="shared" ref="E3:E8" si="1">(B3-C3)/C3</f>
        <v>8.0350669404426533E-2</v>
      </c>
    </row>
    <row r="4" spans="1:5" ht="29" x14ac:dyDescent="0.35">
      <c r="A4" s="19" t="s">
        <v>20</v>
      </c>
      <c r="B4" s="20">
        <f>'Income Statement'!B12</f>
        <v>133050</v>
      </c>
      <c r="C4" s="20">
        <f>'Income Statement'!C12</f>
        <v>123216</v>
      </c>
      <c r="D4" s="21">
        <f t="shared" si="0"/>
        <v>9834</v>
      </c>
      <c r="E4" s="22">
        <f t="shared" si="1"/>
        <v>7.9811063498246987E-2</v>
      </c>
    </row>
    <row r="5" spans="1:5" x14ac:dyDescent="0.35">
      <c r="A5" s="23" t="s">
        <v>24</v>
      </c>
      <c r="B5" s="24">
        <f>'Income Statement'!B16</f>
        <v>112010</v>
      </c>
      <c r="C5" s="24">
        <f>'Income Statement'!C16</f>
        <v>93736</v>
      </c>
      <c r="D5" s="25">
        <f t="shared" si="0"/>
        <v>18274</v>
      </c>
      <c r="E5" s="26">
        <f t="shared" si="1"/>
        <v>0.19495177946573355</v>
      </c>
    </row>
    <row r="6" spans="1:5" x14ac:dyDescent="0.35">
      <c r="A6" s="19" t="s">
        <v>31</v>
      </c>
      <c r="B6" s="20">
        <f>'Balance Sheet'!B8</f>
        <v>359241</v>
      </c>
      <c r="C6" s="20">
        <f>'Balance Sheet'!C8</f>
        <v>364980</v>
      </c>
      <c r="D6" s="21">
        <f t="shared" si="0"/>
        <v>-5739</v>
      </c>
      <c r="E6" s="22">
        <f t="shared" si="1"/>
        <v>-1.5724149268453065E-2</v>
      </c>
    </row>
    <row r="7" spans="1:5" ht="29" x14ac:dyDescent="0.35">
      <c r="A7" s="23" t="s">
        <v>34</v>
      </c>
      <c r="B7" s="24">
        <f>'Balance Sheet'!B11</f>
        <v>285508</v>
      </c>
      <c r="C7" s="24">
        <f>'Balance Sheet'!C11</f>
        <v>308030</v>
      </c>
      <c r="D7" s="25">
        <f t="shared" si="0"/>
        <v>-22522</v>
      </c>
      <c r="E7" s="26">
        <f t="shared" si="1"/>
        <v>-7.3116254910236017E-2</v>
      </c>
    </row>
    <row r="8" spans="1:5" ht="29" x14ac:dyDescent="0.35">
      <c r="A8" s="27" t="s">
        <v>36</v>
      </c>
      <c r="B8" s="28">
        <f>'Cash Flow Statement'!B2</f>
        <v>111482</v>
      </c>
      <c r="C8" s="28">
        <f>'Cash Flow Statement'!C2</f>
        <v>118254</v>
      </c>
      <c r="D8" s="29">
        <f t="shared" si="0"/>
        <v>-6772</v>
      </c>
      <c r="E8" s="30">
        <f t="shared" si="1"/>
        <v>-5.7266561807634411E-2</v>
      </c>
    </row>
  </sheetData>
  <conditionalFormatting sqref="E1:E8">
    <cfRule type="cellIs" dxfId="1" priority="1" operator="lessThan">
      <formula>0</formula>
    </cfRule>
    <cfRule type="cellIs" dxfId="0" priority="2" operator="greater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B12F-1F49-48AA-9FF9-E177F93C4E65}">
  <dimension ref="A1:G16"/>
  <sheetViews>
    <sheetView workbookViewId="0">
      <selection activeCell="G2" sqref="G2"/>
    </sheetView>
  </sheetViews>
  <sheetFormatPr defaultRowHeight="14.5" x14ac:dyDescent="0.35"/>
  <cols>
    <col min="1" max="1" width="9.81640625" customWidth="1"/>
    <col min="2" max="4" width="9.26953125" bestFit="1" customWidth="1"/>
    <col min="5" max="5" width="16.453125" bestFit="1" customWidth="1"/>
    <col min="6" max="6" width="18.08984375" bestFit="1" customWidth="1"/>
    <col min="7" max="7" width="18.26953125" bestFit="1" customWidth="1"/>
  </cols>
  <sheetData>
    <row r="1" spans="1:7" ht="29" x14ac:dyDescent="0.35">
      <c r="A1" s="12" t="s">
        <v>9</v>
      </c>
      <c r="B1" s="13">
        <v>2025</v>
      </c>
      <c r="C1" s="13">
        <v>2024</v>
      </c>
      <c r="D1" s="13">
        <v>2023</v>
      </c>
      <c r="E1" s="32" t="s">
        <v>47</v>
      </c>
      <c r="F1" s="32" t="s">
        <v>48</v>
      </c>
      <c r="G1" s="32" t="s">
        <v>46</v>
      </c>
    </row>
    <row r="2" spans="1:7" ht="29" x14ac:dyDescent="0.35">
      <c r="A2" s="14" t="s">
        <v>10</v>
      </c>
      <c r="B2" s="31">
        <f>Table3[[#This Row],[2025]]</f>
        <v>307003</v>
      </c>
      <c r="C2" s="31">
        <f>Table3[[#This Row],[2024]]</f>
        <v>294866</v>
      </c>
      <c r="D2" s="31">
        <f>Table3[[#This Row],[2023]]</f>
        <v>298085</v>
      </c>
      <c r="E2" s="33">
        <f>B2/B4</f>
        <v>0.73770247572453929</v>
      </c>
      <c r="F2" s="33">
        <f>C2/C4</f>
        <v>0.75406549285869551</v>
      </c>
      <c r="G2" s="33">
        <f>D2/D4</f>
        <v>0.77771110270425403</v>
      </c>
    </row>
    <row r="3" spans="1:7" ht="29" x14ac:dyDescent="0.35">
      <c r="A3" s="14" t="s">
        <v>11</v>
      </c>
      <c r="B3" s="31">
        <f>Table3[[#This Row],[2025]]</f>
        <v>109158</v>
      </c>
      <c r="C3" s="31">
        <f>Table3[[#This Row],[2024]]</f>
        <v>96169</v>
      </c>
      <c r="D3" s="31">
        <f>Table3[[#This Row],[2023]]</f>
        <v>85200</v>
      </c>
      <c r="E3" s="33">
        <f>B3/B4</f>
        <v>0.26229752427546071</v>
      </c>
      <c r="F3" s="33">
        <f>C3/C4</f>
        <v>0.24593450714130449</v>
      </c>
      <c r="G3" s="33">
        <f>D3/D4</f>
        <v>0.222288897295746</v>
      </c>
    </row>
    <row r="4" spans="1:7" ht="29" x14ac:dyDescent="0.35">
      <c r="A4" s="15" t="s">
        <v>12</v>
      </c>
      <c r="B4" s="31">
        <f>Table3[[#This Row],[2025]]</f>
        <v>416161</v>
      </c>
      <c r="C4" s="31">
        <f>Table3[[#This Row],[2024]]</f>
        <v>391035</v>
      </c>
      <c r="D4" s="31">
        <f>Table3[[#This Row],[2023]]</f>
        <v>383285</v>
      </c>
      <c r="E4" s="33">
        <f>B4/B4</f>
        <v>1</v>
      </c>
      <c r="F4" s="33">
        <f>C4/C4</f>
        <v>1</v>
      </c>
      <c r="G4" s="33">
        <f>D4/D4</f>
        <v>1</v>
      </c>
    </row>
    <row r="5" spans="1:7" ht="29" x14ac:dyDescent="0.35">
      <c r="A5" s="14" t="s">
        <v>13</v>
      </c>
      <c r="B5" s="31">
        <f>Table3[[#This Row],[2025]]</f>
        <v>194116</v>
      </c>
      <c r="C5" s="31">
        <f>Table3[[#This Row],[2024]]</f>
        <v>185233</v>
      </c>
      <c r="D5" s="31">
        <f>Table3[[#This Row],[2023]]</f>
        <v>189282</v>
      </c>
      <c r="E5" s="33">
        <f>B5/B4</f>
        <v>0.46644447701730818</v>
      </c>
      <c r="F5" s="33">
        <f>C5/C4</f>
        <v>0.47369928523022237</v>
      </c>
      <c r="G5" s="33">
        <f>D5/D4</f>
        <v>0.4938413973935844</v>
      </c>
    </row>
    <row r="6" spans="1:7" ht="29" x14ac:dyDescent="0.35">
      <c r="A6" s="14" t="s">
        <v>14</v>
      </c>
      <c r="B6" s="31">
        <f>Table3[[#This Row],[2025]]</f>
        <v>26844</v>
      </c>
      <c r="C6" s="31">
        <f>Table3[[#This Row],[2024]]</f>
        <v>25119</v>
      </c>
      <c r="D6" s="31">
        <f>Table3[[#This Row],[2023]]</f>
        <v>24855</v>
      </c>
      <c r="E6" s="33">
        <f>B6/B4</f>
        <v>6.4503881911087302E-2</v>
      </c>
      <c r="F6" s="33">
        <f>C6/C4</f>
        <v>6.4237216617438336E-2</v>
      </c>
      <c r="G6" s="33">
        <f>D6/D4</f>
        <v>6.4847306834339979E-2</v>
      </c>
    </row>
    <row r="7" spans="1:7" x14ac:dyDescent="0.35">
      <c r="A7" s="15" t="s">
        <v>15</v>
      </c>
      <c r="B7" s="31">
        <f>Table3[[#This Row],[2025]]</f>
        <v>220960</v>
      </c>
      <c r="C7" s="31">
        <f>Table3[[#This Row],[2024]]</f>
        <v>210352</v>
      </c>
      <c r="D7" s="31">
        <f>Table3[[#This Row],[2023]]</f>
        <v>214137</v>
      </c>
      <c r="E7" s="33">
        <f>B7/B4</f>
        <v>0.53094835892839554</v>
      </c>
      <c r="F7" s="33">
        <f>C7/C4</f>
        <v>0.53793650184766073</v>
      </c>
      <c r="G7" s="33">
        <f>D7/D4</f>
        <v>0.55868870422792438</v>
      </c>
    </row>
    <row r="8" spans="1:7" ht="29" x14ac:dyDescent="0.35">
      <c r="A8" s="15" t="s">
        <v>16</v>
      </c>
      <c r="B8" s="31">
        <f>Table3[[#This Row],[2025]]</f>
        <v>195201</v>
      </c>
      <c r="C8" s="31">
        <f>Table3[[#This Row],[2024]]</f>
        <v>180683</v>
      </c>
      <c r="D8" s="31">
        <f>Table3[[#This Row],[2023]]</f>
        <v>169148</v>
      </c>
      <c r="E8" s="33">
        <f>B8/B4</f>
        <v>0.46905164107160452</v>
      </c>
      <c r="F8" s="33">
        <f>C8/C4</f>
        <v>0.46206349815233932</v>
      </c>
      <c r="G8" s="33">
        <f>D8/D4</f>
        <v>0.44131129577207562</v>
      </c>
    </row>
    <row r="9" spans="1:7" x14ac:dyDescent="0.35">
      <c r="A9" s="14" t="s">
        <v>17</v>
      </c>
      <c r="B9" s="31">
        <f>Table3[[#This Row],[2025]]</f>
        <v>34550</v>
      </c>
      <c r="C9" s="31">
        <f>Table3[[#This Row],[2024]]</f>
        <v>31370</v>
      </c>
      <c r="D9" s="31">
        <f>Table3[[#This Row],[2023]]</f>
        <v>29915</v>
      </c>
      <c r="E9" s="33">
        <f>B9/B4</f>
        <v>8.3020753987038676E-2</v>
      </c>
      <c r="F9" s="33">
        <f>C9/C4</f>
        <v>8.0222997941360744E-2</v>
      </c>
      <c r="G9" s="33">
        <f>D9/D4</f>
        <v>7.8048971392045086E-2</v>
      </c>
    </row>
    <row r="10" spans="1:7" x14ac:dyDescent="0.35">
      <c r="A10" s="14" t="s">
        <v>18</v>
      </c>
      <c r="B10" s="31">
        <f>Table3[[#This Row],[2025]]</f>
        <v>27601</v>
      </c>
      <c r="C10" s="31">
        <f>Table3[[#This Row],[2024]]</f>
        <v>26097</v>
      </c>
      <c r="D10" s="31">
        <f>Table3[[#This Row],[2023]]</f>
        <v>24932</v>
      </c>
      <c r="E10" s="33">
        <f>B10/B4</f>
        <v>6.6322889458647019E-2</v>
      </c>
      <c r="F10" s="33">
        <f>C10/C4</f>
        <v>6.6738271510222866E-2</v>
      </c>
      <c r="G10" s="33">
        <f>D10/D4</f>
        <v>6.5048201729783317E-2</v>
      </c>
    </row>
    <row r="11" spans="1:7" ht="43.5" x14ac:dyDescent="0.35">
      <c r="A11" s="14" t="s">
        <v>19</v>
      </c>
      <c r="B11" s="31">
        <f>Table3[[#This Row],[2025]]</f>
        <v>62151</v>
      </c>
      <c r="C11" s="31">
        <f>Table3[[#This Row],[2024]]</f>
        <v>57467</v>
      </c>
      <c r="D11" s="31">
        <f>Table3[[#This Row],[2023]]</f>
        <v>54847</v>
      </c>
      <c r="E11" s="33">
        <f>B11/B4</f>
        <v>0.14934364344568568</v>
      </c>
      <c r="F11" s="33">
        <f>C11/C4</f>
        <v>0.14696126945158361</v>
      </c>
      <c r="G11" s="33">
        <f>D11/D4</f>
        <v>0.1430971731218284</v>
      </c>
    </row>
    <row r="12" spans="1:7" ht="29" x14ac:dyDescent="0.35">
      <c r="A12" s="15" t="s">
        <v>20</v>
      </c>
      <c r="B12" s="31">
        <f>Table3[[#This Row],[2025]]</f>
        <v>133050</v>
      </c>
      <c r="C12" s="31">
        <f>Table3[[#This Row],[2024]]</f>
        <v>123216</v>
      </c>
      <c r="D12" s="31">
        <f>Table3[[#This Row],[2023]]</f>
        <v>114301</v>
      </c>
      <c r="E12" s="33">
        <f>B12/B4</f>
        <v>0.31970799762591884</v>
      </c>
      <c r="F12" s="33">
        <f>C12/C4</f>
        <v>0.31510222870075566</v>
      </c>
      <c r="G12" s="33">
        <f>D12/D4</f>
        <v>0.29821412265024722</v>
      </c>
    </row>
    <row r="13" spans="1:7" ht="29" x14ac:dyDescent="0.35">
      <c r="A13" s="14" t="s">
        <v>21</v>
      </c>
      <c r="B13" s="31">
        <f>Table3[[#This Row],[2025]]</f>
        <v>-321</v>
      </c>
      <c r="C13" s="31">
        <f>Table3[[#This Row],[2024]]</f>
        <v>269</v>
      </c>
      <c r="D13" s="31">
        <f>Table3[[#This Row],[2023]]</f>
        <v>-565</v>
      </c>
      <c r="E13" s="33">
        <f>B13/B4</f>
        <v>-7.7133609348305101E-4</v>
      </c>
      <c r="F13" s="33">
        <f>C13/C4</f>
        <v>6.8791796130781137E-4</v>
      </c>
      <c r="G13" s="33">
        <f>D13/D4</f>
        <v>-1.4740989081231982E-3</v>
      </c>
    </row>
    <row r="14" spans="1:7" ht="29" x14ac:dyDescent="0.35">
      <c r="A14" s="14" t="s">
        <v>22</v>
      </c>
      <c r="B14" s="31">
        <f>Table3[[#This Row],[2025]]</f>
        <v>132729</v>
      </c>
      <c r="C14" s="31">
        <f>Table3[[#This Row],[2024]]</f>
        <v>123485</v>
      </c>
      <c r="D14" s="31">
        <f>Table3[[#This Row],[2023]]</f>
        <v>113736</v>
      </c>
      <c r="E14" s="33">
        <f>B14/B4</f>
        <v>0.31893666153243577</v>
      </c>
      <c r="F14" s="33">
        <f>C14/C4</f>
        <v>0.31579014666206351</v>
      </c>
      <c r="G14" s="33">
        <f>D14/D4</f>
        <v>0.29674002374212399</v>
      </c>
    </row>
    <row r="15" spans="1:7" ht="29" x14ac:dyDescent="0.35">
      <c r="A15" s="14" t="s">
        <v>23</v>
      </c>
      <c r="B15" s="31">
        <f>Table3[[#This Row],[2025]]</f>
        <v>20719</v>
      </c>
      <c r="C15" s="31">
        <f>Table3[[#This Row],[2024]]</f>
        <v>29749</v>
      </c>
      <c r="D15" s="31">
        <f>Table3[[#This Row],[2023]]</f>
        <v>16741</v>
      </c>
      <c r="E15" s="33">
        <f>B15/B4</f>
        <v>4.9786020314253381E-2</v>
      </c>
      <c r="F15" s="33">
        <f>C15/C4</f>
        <v>7.6077588962624829E-2</v>
      </c>
      <c r="G15" s="33">
        <f>D15/D4</f>
        <v>4.3677681098921166E-2</v>
      </c>
    </row>
    <row r="16" spans="1:7" ht="29" x14ac:dyDescent="0.35">
      <c r="A16" s="15" t="s">
        <v>24</v>
      </c>
      <c r="B16" s="31">
        <f>Table3[[#This Row],[2025]]</f>
        <v>112010</v>
      </c>
      <c r="C16" s="31">
        <f>Table3[[#This Row],[2024]]</f>
        <v>93736</v>
      </c>
      <c r="D16" s="31">
        <f>Table3[[#This Row],[2023]]</f>
        <v>96995</v>
      </c>
      <c r="E16" s="33">
        <f>B16/B4</f>
        <v>0.26915064121818238</v>
      </c>
      <c r="F16" s="33">
        <f>C16/C4</f>
        <v>0.23971255769943867</v>
      </c>
      <c r="G16" s="33">
        <f>D16/D4</f>
        <v>0.25306234264320282</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3CD9-DCD9-4924-8435-3972A0341F87}">
  <dimension ref="A1:D6"/>
  <sheetViews>
    <sheetView workbookViewId="0">
      <selection activeCell="K11" sqref="K11"/>
    </sheetView>
  </sheetViews>
  <sheetFormatPr defaultRowHeight="14.5" x14ac:dyDescent="0.35"/>
  <cols>
    <col min="2" max="2" width="11.36328125" bestFit="1" customWidth="1"/>
  </cols>
  <sheetData>
    <row r="1" spans="1:4" x14ac:dyDescent="0.35">
      <c r="A1" s="12" t="s">
        <v>49</v>
      </c>
      <c r="B1" s="13">
        <v>2025</v>
      </c>
      <c r="C1" s="13">
        <v>2024</v>
      </c>
      <c r="D1" s="13">
        <v>2023</v>
      </c>
    </row>
    <row r="2" spans="1:4" ht="43.5" x14ac:dyDescent="0.35">
      <c r="A2" s="14" t="s">
        <v>50</v>
      </c>
      <c r="B2" s="34">
        <f>'Income Statement'!B8/'Income Statement'!B4</f>
        <v>0.46905164107160452</v>
      </c>
      <c r="C2" s="34">
        <f>'Income Statement'!C8/'Income Statement'!C4</f>
        <v>0.46206349815233932</v>
      </c>
      <c r="D2" s="34">
        <f>'Income Statement'!D8/'Income Statement'!D4</f>
        <v>0.44131129577207562</v>
      </c>
    </row>
    <row r="3" spans="1:4" ht="43.5" x14ac:dyDescent="0.35">
      <c r="A3" s="14" t="s">
        <v>51</v>
      </c>
      <c r="B3" s="34">
        <f>'Income Statement'!B12/'Income Statement'!B4</f>
        <v>0.31970799762591884</v>
      </c>
      <c r="C3" s="34">
        <f>'Income Statement'!C12/'Income Statement'!C4</f>
        <v>0.31510222870075566</v>
      </c>
      <c r="D3" s="34">
        <f>'Income Statement'!D12/'Income Statement'!D4</f>
        <v>0.29821412265024722</v>
      </c>
    </row>
    <row r="4" spans="1:4" ht="29" x14ac:dyDescent="0.35">
      <c r="A4" s="14" t="s">
        <v>52</v>
      </c>
      <c r="B4" s="34">
        <f>'Income Statement'!B16/'Income Statement'!B4</f>
        <v>0.26915064121818238</v>
      </c>
      <c r="C4" s="34">
        <f>'Income Statement'!C16/'Income Statement'!C4</f>
        <v>0.23971255769943867</v>
      </c>
      <c r="D4" s="34">
        <f>'Income Statement'!D16/'Income Statement'!D4</f>
        <v>0.25306234264320282</v>
      </c>
    </row>
    <row r="5" spans="1:4" x14ac:dyDescent="0.35">
      <c r="A5" s="14" t="s">
        <v>53</v>
      </c>
      <c r="B5" s="34">
        <f>'Income Statement'!B16/AVERAGE('Balance Sheet'!B8,'Balance Sheet'!C8)</f>
        <v>0.3093254683307996</v>
      </c>
      <c r="C5" s="34">
        <f>'Income Statement'!C16/AVERAGE('Balance Sheet'!C8,'Balance Sheet'!D8)</f>
        <v>0.26126207733676349</v>
      </c>
      <c r="D5" s="34">
        <f>'Income Statement'!D16/'Balance Sheet'!D8</f>
        <v>0.27509834563776475</v>
      </c>
    </row>
    <row r="6" spans="1:4" x14ac:dyDescent="0.35">
      <c r="A6" s="14" t="s">
        <v>54</v>
      </c>
      <c r="B6" s="34">
        <f>'Income Statement'!B16/AVERAGE('Balance Sheet'!B12,'Balance Sheet'!C12)</f>
        <v>1.7142244974480232</v>
      </c>
      <c r="C6" s="34">
        <f>'Income Statement'!C16/AVERAGE('Balance Sheet'!C12,'Balance Sheet'!D12)</f>
        <v>1.5741250755692886</v>
      </c>
      <c r="D6" s="34">
        <f>'Income Statement'!D16/'Balance Sheet'!D12</f>
        <v>1.5607601454639075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7047-60DD-408F-9A61-B1815F22A682}">
  <dimension ref="A1:I17"/>
  <sheetViews>
    <sheetView topLeftCell="A26" zoomScale="87" workbookViewId="0">
      <selection activeCell="N43" sqref="N43"/>
    </sheetView>
  </sheetViews>
  <sheetFormatPr defaultRowHeight="14.5" x14ac:dyDescent="0.35"/>
  <cols>
    <col min="1" max="1" width="40.08984375" bestFit="1" customWidth="1"/>
    <col min="3" max="3" width="11.36328125" bestFit="1" customWidth="1"/>
    <col min="5" max="5" width="15.26953125" bestFit="1" customWidth="1"/>
    <col min="7" max="7" width="11.36328125" bestFit="1" customWidth="1"/>
    <col min="9" max="9" width="14.36328125" bestFit="1" customWidth="1"/>
  </cols>
  <sheetData>
    <row r="1" spans="1:9" x14ac:dyDescent="0.35">
      <c r="A1" t="s">
        <v>72</v>
      </c>
    </row>
    <row r="3" spans="1:9" x14ac:dyDescent="0.35">
      <c r="A3" t="s">
        <v>71</v>
      </c>
      <c r="C3" t="s">
        <v>16</v>
      </c>
      <c r="E3" t="s">
        <v>20</v>
      </c>
      <c r="G3" t="s">
        <v>24</v>
      </c>
      <c r="I3" t="s">
        <v>52</v>
      </c>
    </row>
    <row r="4" spans="1:9" x14ac:dyDescent="0.35">
      <c r="A4" s="41">
        <f>'Income Statement'!B4</f>
        <v>416161</v>
      </c>
      <c r="B4" s="41"/>
      <c r="C4" s="41">
        <f>'Income Statement'!B8</f>
        <v>195201</v>
      </c>
      <c r="D4" s="41"/>
      <c r="E4" s="41">
        <f>'Income Statement'!B12</f>
        <v>133050</v>
      </c>
      <c r="F4" s="41"/>
      <c r="G4" s="41">
        <f>'Income Statement'!B16</f>
        <v>112010</v>
      </c>
      <c r="H4" s="41"/>
      <c r="I4" s="33">
        <f>'Ratio Analysis'!B4</f>
        <v>0.26915064121818238</v>
      </c>
    </row>
    <row r="7" spans="1:9" x14ac:dyDescent="0.35">
      <c r="A7" s="12"/>
      <c r="B7" s="12"/>
      <c r="C7" s="12"/>
      <c r="D7" s="12"/>
      <c r="F7" s="12"/>
      <c r="G7" s="12"/>
      <c r="H7" s="12"/>
      <c r="I7" s="12"/>
    </row>
    <row r="8" spans="1:9" x14ac:dyDescent="0.35">
      <c r="A8" s="14" t="s">
        <v>73</v>
      </c>
      <c r="B8" s="14">
        <v>2023</v>
      </c>
      <c r="C8" s="14">
        <v>2024</v>
      </c>
      <c r="D8" s="14">
        <v>2025</v>
      </c>
      <c r="F8" s="15" t="s">
        <v>74</v>
      </c>
      <c r="G8" s="15">
        <v>2023</v>
      </c>
      <c r="H8" s="15">
        <v>2024</v>
      </c>
      <c r="I8" s="15">
        <v>2025</v>
      </c>
    </row>
    <row r="9" spans="1:9" ht="43.5" x14ac:dyDescent="0.35">
      <c r="A9" s="14" t="s">
        <v>71</v>
      </c>
      <c r="B9" s="42">
        <f>'Income Statement'!D4</f>
        <v>383285</v>
      </c>
      <c r="C9" s="42">
        <f>'Income Statement'!C4</f>
        <v>391035</v>
      </c>
      <c r="D9" s="42">
        <f>'Income Statement'!B4</f>
        <v>416161</v>
      </c>
      <c r="F9" s="14" t="s">
        <v>50</v>
      </c>
      <c r="G9" s="43">
        <f>'Ratio Analysis'!D2</f>
        <v>0.44131129577207562</v>
      </c>
      <c r="H9" s="43">
        <f>'Ratio Analysis'!C2</f>
        <v>0.46206349815233932</v>
      </c>
      <c r="I9" s="43">
        <f>'Ratio Analysis'!B2</f>
        <v>0.46905164107160452</v>
      </c>
    </row>
    <row r="10" spans="1:9" ht="43.5" x14ac:dyDescent="0.35">
      <c r="A10" s="14" t="s">
        <v>16</v>
      </c>
      <c r="B10" s="42">
        <f>'Income Statement'!D8</f>
        <v>169148</v>
      </c>
      <c r="C10" s="42">
        <f>'Income Statement'!C8</f>
        <v>180683</v>
      </c>
      <c r="D10" s="42">
        <f>'Income Statement'!B8</f>
        <v>195201</v>
      </c>
      <c r="F10" s="14" t="s">
        <v>51</v>
      </c>
      <c r="G10" s="43">
        <f>'Ratio Analysis'!D3</f>
        <v>0.29821412265024722</v>
      </c>
      <c r="H10" s="43">
        <f>'Ratio Analysis'!C3</f>
        <v>0.31510222870075566</v>
      </c>
      <c r="I10" s="43">
        <f>'Ratio Analysis'!B3</f>
        <v>0.31970799762591884</v>
      </c>
    </row>
    <row r="11" spans="1:9" ht="29" x14ac:dyDescent="0.35">
      <c r="A11" s="14" t="s">
        <v>20</v>
      </c>
      <c r="B11" s="42">
        <f>'Income Statement'!D12</f>
        <v>114301</v>
      </c>
      <c r="C11" s="42">
        <f>'Income Statement'!C12</f>
        <v>123216</v>
      </c>
      <c r="D11" s="42">
        <f>'Income Statement'!B12</f>
        <v>133050</v>
      </c>
      <c r="F11" s="14" t="s">
        <v>52</v>
      </c>
      <c r="G11" s="43">
        <f>'Ratio Analysis'!D4</f>
        <v>0.25306234264320282</v>
      </c>
      <c r="H11" s="43">
        <f>'Ratio Analysis'!C4</f>
        <v>0.23971255769943867</v>
      </c>
      <c r="I11" s="43">
        <f>'Ratio Analysis'!B4</f>
        <v>0.26915064121818238</v>
      </c>
    </row>
    <row r="12" spans="1:9" x14ac:dyDescent="0.35">
      <c r="A12" s="14" t="s">
        <v>24</v>
      </c>
      <c r="B12" s="42">
        <f>'Income Statement'!D16</f>
        <v>96995</v>
      </c>
      <c r="C12" s="42">
        <f>'Income Statement'!C16</f>
        <v>93736</v>
      </c>
      <c r="D12" s="42">
        <f>'Income Statement'!B16</f>
        <v>112010</v>
      </c>
    </row>
    <row r="14" spans="1:9" x14ac:dyDescent="0.35">
      <c r="A14" s="12"/>
      <c r="B14" s="13"/>
      <c r="C14" s="13"/>
      <c r="D14" s="13"/>
    </row>
    <row r="15" spans="1:9" x14ac:dyDescent="0.35">
      <c r="A15" s="15" t="s">
        <v>75</v>
      </c>
      <c r="B15" s="13">
        <v>2023</v>
      </c>
      <c r="C15" s="13">
        <v>2024</v>
      </c>
      <c r="D15" s="13">
        <v>2025</v>
      </c>
    </row>
    <row r="16" spans="1:9" x14ac:dyDescent="0.35">
      <c r="A16" s="14" t="s">
        <v>31</v>
      </c>
      <c r="B16" s="44">
        <f>'Balance Sheet'!D8</f>
        <v>352583</v>
      </c>
      <c r="C16" s="44">
        <f>'Balance Sheet'!C8</f>
        <v>364980</v>
      </c>
      <c r="D16" s="44">
        <f>'Balance Sheet'!B8</f>
        <v>359241</v>
      </c>
    </row>
    <row r="17" spans="1:4" x14ac:dyDescent="0.35">
      <c r="A17" s="14" t="s">
        <v>34</v>
      </c>
      <c r="B17" s="44">
        <f>'Balance Sheet'!D11</f>
        <v>290437</v>
      </c>
      <c r="C17" s="44">
        <f>'Balance Sheet'!C11</f>
        <v>308030</v>
      </c>
      <c r="D17" s="44">
        <f>'Balance Sheet'!B11</f>
        <v>285508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4C51-F792-463F-B40E-8A9E7F79CD67}">
  <dimension ref="A1:B9"/>
  <sheetViews>
    <sheetView tabSelected="1" zoomScale="89" workbookViewId="0"/>
  </sheetViews>
  <sheetFormatPr defaultRowHeight="14.5" x14ac:dyDescent="0.35"/>
  <cols>
    <col min="1" max="1" width="40" style="45" bestFit="1" customWidth="1"/>
    <col min="2" max="2" width="255.54296875" style="46" customWidth="1"/>
  </cols>
  <sheetData>
    <row r="1" spans="1:2" x14ac:dyDescent="0.35">
      <c r="A1" s="45" t="s">
        <v>76</v>
      </c>
    </row>
    <row r="2" spans="1:2" x14ac:dyDescent="0.35">
      <c r="A2" s="15" t="s">
        <v>77</v>
      </c>
      <c r="B2" s="15" t="s">
        <v>78</v>
      </c>
    </row>
    <row r="3" spans="1:2" x14ac:dyDescent="0.35">
      <c r="A3" s="15" t="s">
        <v>79</v>
      </c>
      <c r="B3" s="46" t="s">
        <v>84</v>
      </c>
    </row>
    <row r="4" spans="1:2" x14ac:dyDescent="0.35">
      <c r="A4" s="15" t="s">
        <v>80</v>
      </c>
      <c r="B4" s="46" t="s">
        <v>85</v>
      </c>
    </row>
    <row r="5" spans="1:2" x14ac:dyDescent="0.35">
      <c r="A5" s="15" t="s">
        <v>24</v>
      </c>
      <c r="B5" s="46" t="s">
        <v>86</v>
      </c>
    </row>
    <row r="6" spans="1:2" x14ac:dyDescent="0.35">
      <c r="A6" s="15" t="s">
        <v>75</v>
      </c>
      <c r="B6" s="46" t="s">
        <v>87</v>
      </c>
    </row>
    <row r="7" spans="1:2" x14ac:dyDescent="0.35">
      <c r="A7" s="15" t="s">
        <v>81</v>
      </c>
      <c r="B7" s="46" t="s">
        <v>88</v>
      </c>
    </row>
    <row r="8" spans="1:2" x14ac:dyDescent="0.35">
      <c r="A8" s="15" t="s">
        <v>82</v>
      </c>
      <c r="B8" s="46" t="s">
        <v>89</v>
      </c>
    </row>
    <row r="9" spans="1:2" ht="29" x14ac:dyDescent="0.35">
      <c r="A9" s="15" t="s">
        <v>83</v>
      </c>
      <c r="B9" s="46" t="s">
        <v>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155C52-707B-43F7-B1B8-D7C7DCB278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Income Statement</vt:lpstr>
      <vt:lpstr>Balance Sheet</vt:lpstr>
      <vt:lpstr>Cash Flow Statement</vt:lpstr>
      <vt:lpstr>Horizontal Analysis</vt:lpstr>
      <vt:lpstr>Vertical Analysis</vt:lpstr>
      <vt:lpstr>Ratio 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Nivas Pachigolla</dc:creator>
  <cp:lastModifiedBy>Nivas Pachigolla</cp:lastModifiedBy>
  <dcterms:created xsi:type="dcterms:W3CDTF">2026-08-04T14:33:45Z</dcterms:created>
  <dcterms:modified xsi:type="dcterms:W3CDTF">2026-10-05T06:07:37Z</dcterms:modified>
</cp:coreProperties>
</file>